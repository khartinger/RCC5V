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2890" windowHeight="11595"/>
  </bookViews>
  <sheets>
    <sheet name="RCC_TUI_M_LED" sheetId="1" r:id="rId1"/>
  </sheets>
  <calcPr calcId="125725"/>
</workbook>
</file>

<file path=xl/calcChain.xml><?xml version="1.0" encoding="utf-8"?>
<calcChain xmlns="http://schemas.openxmlformats.org/spreadsheetml/2006/main">
  <c r="G13" i="1"/>
  <c r="L13" s="1"/>
  <c r="H13"/>
  <c r="I13"/>
  <c r="J13"/>
  <c r="G14"/>
  <c r="H14"/>
  <c r="I14"/>
  <c r="L14" s="1"/>
  <c r="J14"/>
  <c r="G15"/>
  <c r="L15" s="1"/>
  <c r="H15"/>
  <c r="I15"/>
  <c r="J15"/>
  <c r="G16"/>
  <c r="L16" s="1"/>
  <c r="H16"/>
  <c r="I16"/>
  <c r="J16"/>
  <c r="G17"/>
  <c r="H17"/>
  <c r="I17"/>
  <c r="L17" s="1"/>
  <c r="J17"/>
  <c r="G18"/>
  <c r="L18" s="1"/>
  <c r="H18"/>
  <c r="I18"/>
  <c r="J18"/>
  <c r="G12"/>
  <c r="H12"/>
  <c r="I12"/>
  <c r="J12"/>
  <c r="G4"/>
  <c r="H4"/>
  <c r="I4"/>
  <c r="J4"/>
  <c r="G5"/>
  <c r="H5"/>
  <c r="I5"/>
  <c r="J5"/>
  <c r="G6"/>
  <c r="H6"/>
  <c r="I6"/>
  <c r="J6"/>
  <c r="G7"/>
  <c r="H7"/>
  <c r="I7"/>
  <c r="J7"/>
  <c r="G8"/>
  <c r="H8"/>
  <c r="I8"/>
  <c r="J8"/>
  <c r="G9"/>
  <c r="H9"/>
  <c r="I9"/>
  <c r="J9"/>
  <c r="G10"/>
  <c r="H10"/>
  <c r="I10"/>
  <c r="J10"/>
  <c r="G11"/>
  <c r="H11"/>
  <c r="I11"/>
  <c r="J11"/>
  <c r="J3"/>
  <c r="I3"/>
  <c r="H3"/>
  <c r="G3"/>
  <c r="L2"/>
  <c r="L1"/>
  <c r="L12" l="1"/>
  <c r="L11"/>
  <c r="L3"/>
  <c r="L6"/>
  <c r="L9"/>
  <c r="L7"/>
  <c r="L4"/>
  <c r="L8"/>
  <c r="L10"/>
  <c r="L5"/>
</calcChain>
</file>

<file path=xl/sharedStrings.xml><?xml version="1.0" encoding="utf-8"?>
<sst xmlns="http://schemas.openxmlformats.org/spreadsheetml/2006/main" count="59" uniqueCount="45">
  <si>
    <t>ID</t>
  </si>
  <si>
    <t>Bezeichner</t>
  </si>
  <si>
    <t>Footprint</t>
  </si>
  <si>
    <t>StÃ¼ckzahl</t>
  </si>
  <si>
    <t>Bezeichnung</t>
  </si>
  <si>
    <t>C1</t>
  </si>
  <si>
    <t>J1, J2</t>
  </si>
  <si>
    <t>Conn_01x08_Pin</t>
  </si>
  <si>
    <t>R1</t>
  </si>
  <si>
    <t>100k</t>
  </si>
  <si>
    <t>Anzahl</t>
  </si>
  <si>
    <t>Referenz</t>
  </si>
  <si>
    <t>Wert</t>
  </si>
  <si>
    <t>-----</t>
  </si>
  <si>
    <t>Geh&amp;auml;use</t>
  </si>
  <si>
    <t>R_Axial_DIN0204_L3.6mm_D1.6mm_P2.54mm_Vertical_kh</t>
  </si>
  <si>
    <t>4k7</t>
  </si>
  <si>
    <t>C_L4mm_D3mm_P2.54mm_kh</t>
  </si>
  <si>
    <t>1u</t>
  </si>
  <si>
    <t>D1</t>
  </si>
  <si>
    <t>LED_D3.0mm_kh</t>
  </si>
  <si>
    <t>LED rot</t>
  </si>
  <si>
    <t>D2, D4, D5, D6</t>
  </si>
  <si>
    <t>LED gelb</t>
  </si>
  <si>
    <t>D3</t>
  </si>
  <si>
    <t>LED grÃ¼n</t>
  </si>
  <si>
    <t>PinSocket_1x08_P2.54mm_Vertical_11mm_kh</t>
  </si>
  <si>
    <t>Q1, Q2, Q3, Q4</t>
  </si>
  <si>
    <t>TO-92_Inline_Wide_custom</t>
  </si>
  <si>
    <t>BS170</t>
  </si>
  <si>
    <t>R_Axial_DIN0204_L3.6mm_D1.6mm_P2.54mm_Vertical</t>
  </si>
  <si>
    <t>10k</t>
  </si>
  <si>
    <t>R2, R5, R9, R21, R22, R23</t>
  </si>
  <si>
    <t>1k</t>
  </si>
  <si>
    <t>R3, R6, R10, R13</t>
  </si>
  <si>
    <t>R4, R11, R14</t>
  </si>
  <si>
    <t>R7</t>
  </si>
  <si>
    <t>R8</t>
  </si>
  <si>
    <t>R12, R15</t>
  </si>
  <si>
    <t>R16</t>
  </si>
  <si>
    <t>R_Axial_DIN0204_L3.6mm_D1.6mm_P3.81mm_Vertical_kh</t>
  </si>
  <si>
    <t>R17</t>
  </si>
  <si>
    <t>R_Axial_DIN0207_L6.3mm_D2.5mm_P12.7mm_Horizontal_kh</t>
  </si>
  <si>
    <t>SW1, SW2</t>
  </si>
  <si>
    <t>SW_Push_DPDT_8x8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</si>
</sst>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quotePrefix="1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>
      <selection activeCell="L1" sqref="L1:L18"/>
    </sheetView>
  </sheetViews>
  <sheetFormatPr baseColWidth="10" defaultRowHeight="15"/>
  <cols>
    <col min="1" max="1" width="5" customWidth="1"/>
    <col min="2" max="2" width="9" customWidth="1"/>
    <col min="3" max="3" width="52" customWidth="1"/>
    <col min="4" max="4" width="6.28515625" customWidth="1"/>
    <col min="5" max="5" width="25.42578125" customWidth="1"/>
    <col min="6" max="6" width="2.5703125" style="1" customWidth="1"/>
    <col min="7" max="7" width="7.140625" customWidth="1"/>
    <col min="10" max="10" width="14.85546875" customWidth="1"/>
    <col min="11" max="11" width="3.42578125" style="1" customWidth="1"/>
    <col min="12" max="12" width="42.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10</v>
      </c>
      <c r="H1" t="s">
        <v>11</v>
      </c>
      <c r="I1" t="s">
        <v>12</v>
      </c>
      <c r="J1" t="s">
        <v>14</v>
      </c>
      <c r="L1" t="str">
        <f>"| "&amp;G1&amp;" | "&amp;H1&amp;" | "&amp;I1&amp;" | "&amp;J1&amp;" |   "</f>
        <v xml:space="preserve">| Anzahl | Referenz | Wert | Geh&amp;auml;use |   </v>
      </c>
    </row>
    <row r="2" spans="1:12">
      <c r="G2" s="2" t="s">
        <v>13</v>
      </c>
      <c r="H2" s="2" t="s">
        <v>13</v>
      </c>
      <c r="I2" s="2" t="s">
        <v>13</v>
      </c>
      <c r="J2" s="2" t="s">
        <v>13</v>
      </c>
      <c r="L2" t="str">
        <f>"|"&amp;G2&amp;"|"&amp;H2&amp;"|"&amp;I2&amp;"|"&amp;J2&amp;"|   "</f>
        <v xml:space="preserve">|-----|-----|-----|-----|   </v>
      </c>
    </row>
    <row r="3" spans="1:12">
      <c r="A3">
        <v>1</v>
      </c>
      <c r="B3" t="s">
        <v>5</v>
      </c>
      <c r="C3" t="s">
        <v>17</v>
      </c>
      <c r="D3">
        <v>1</v>
      </c>
      <c r="E3" t="s">
        <v>18</v>
      </c>
      <c r="G3">
        <f>D3</f>
        <v>1</v>
      </c>
      <c r="H3" t="str">
        <f>B3</f>
        <v>C1</v>
      </c>
      <c r="I3" t="str">
        <f>E3</f>
        <v>1u</v>
      </c>
      <c r="J3" t="str">
        <f>C3</f>
        <v>C_L4mm_D3mm_P2.54mm_kh</v>
      </c>
      <c r="L3" t="str">
        <f>"| "&amp;G3&amp;" | "&amp;H3&amp;" | "&amp;I3&amp;" | "&amp;J3&amp;" |   "</f>
        <v xml:space="preserve">| 1 | C1 | 1u | C_L4mm_D3mm_P2.54mm_kh |   </v>
      </c>
    </row>
    <row r="4" spans="1:12">
      <c r="A4">
        <v>2</v>
      </c>
      <c r="B4" t="s">
        <v>19</v>
      </c>
      <c r="C4" t="s">
        <v>20</v>
      </c>
      <c r="D4">
        <v>1</v>
      </c>
      <c r="E4" t="s">
        <v>21</v>
      </c>
      <c r="G4">
        <f t="shared" ref="G4:G11" si="0">D4</f>
        <v>1</v>
      </c>
      <c r="H4" t="str">
        <f t="shared" ref="H4:H11" si="1">B4</f>
        <v>D1</v>
      </c>
      <c r="I4" t="str">
        <f t="shared" ref="I4:I11" si="2">E4</f>
        <v>LED rot</v>
      </c>
      <c r="J4" t="str">
        <f t="shared" ref="J4:J11" si="3">C4</f>
        <v>LED_D3.0mm_kh</v>
      </c>
      <c r="L4" t="str">
        <f t="shared" ref="L4:L11" si="4">"| "&amp;G4&amp;" | "&amp;H4&amp;" | "&amp;I4&amp;" | "&amp;J4&amp;" |   "</f>
        <v xml:space="preserve">| 1 | D1 | LED rot | LED_D3.0mm_kh |   </v>
      </c>
    </row>
    <row r="5" spans="1:12">
      <c r="A5">
        <v>3</v>
      </c>
      <c r="B5" t="s">
        <v>22</v>
      </c>
      <c r="C5" t="s">
        <v>20</v>
      </c>
      <c r="D5">
        <v>4</v>
      </c>
      <c r="E5" t="s">
        <v>23</v>
      </c>
      <c r="G5">
        <f t="shared" si="0"/>
        <v>4</v>
      </c>
      <c r="H5" t="str">
        <f t="shared" si="1"/>
        <v>D2, D4, D5, D6</v>
      </c>
      <c r="I5" t="str">
        <f t="shared" si="2"/>
        <v>LED gelb</v>
      </c>
      <c r="J5" t="str">
        <f t="shared" si="3"/>
        <v>LED_D3.0mm_kh</v>
      </c>
      <c r="L5" t="str">
        <f t="shared" si="4"/>
        <v xml:space="preserve">| 4 | D2, D4, D5, D6 | LED gelb | LED_D3.0mm_kh |   </v>
      </c>
    </row>
    <row r="6" spans="1:12">
      <c r="A6">
        <v>4</v>
      </c>
      <c r="B6" t="s">
        <v>24</v>
      </c>
      <c r="C6" t="s">
        <v>20</v>
      </c>
      <c r="D6">
        <v>1</v>
      </c>
      <c r="E6" t="s">
        <v>25</v>
      </c>
      <c r="G6">
        <f t="shared" si="0"/>
        <v>1</v>
      </c>
      <c r="H6" t="str">
        <f t="shared" si="1"/>
        <v>D3</v>
      </c>
      <c r="I6" t="str">
        <f t="shared" si="2"/>
        <v>LED grÃ¼n</v>
      </c>
      <c r="J6" t="str">
        <f t="shared" si="3"/>
        <v>LED_D3.0mm_kh</v>
      </c>
      <c r="L6" t="str">
        <f t="shared" si="4"/>
        <v xml:space="preserve">| 1 | D3 | LED grÃ¼n | LED_D3.0mm_kh |   </v>
      </c>
    </row>
    <row r="7" spans="1:12">
      <c r="A7">
        <v>5</v>
      </c>
      <c r="B7" t="s">
        <v>6</v>
      </c>
      <c r="C7" t="s">
        <v>26</v>
      </c>
      <c r="D7">
        <v>2</v>
      </c>
      <c r="E7" t="s">
        <v>7</v>
      </c>
      <c r="G7">
        <f t="shared" si="0"/>
        <v>2</v>
      </c>
      <c r="H7" t="str">
        <f t="shared" si="1"/>
        <v>J1, J2</v>
      </c>
      <c r="I7" t="str">
        <f t="shared" si="2"/>
        <v>Conn_01x08_Pin</v>
      </c>
      <c r="J7" t="str">
        <f t="shared" si="3"/>
        <v>PinSocket_1x08_P2.54mm_Vertical_11mm_kh</v>
      </c>
      <c r="L7" t="str">
        <f t="shared" si="4"/>
        <v xml:space="preserve">| 2 | J1, J2 | Conn_01x08_Pin | PinSocket_1x08_P2.54mm_Vertical_11mm_kh |   </v>
      </c>
    </row>
    <row r="8" spans="1:12">
      <c r="A8">
        <v>6</v>
      </c>
      <c r="B8" t="s">
        <v>27</v>
      </c>
      <c r="C8" t="s">
        <v>28</v>
      </c>
      <c r="D8">
        <v>4</v>
      </c>
      <c r="E8" t="s">
        <v>29</v>
      </c>
      <c r="G8">
        <f t="shared" si="0"/>
        <v>4</v>
      </c>
      <c r="H8" t="str">
        <f t="shared" si="1"/>
        <v>Q1, Q2, Q3, Q4</v>
      </c>
      <c r="I8" t="str">
        <f t="shared" si="2"/>
        <v>BS170</v>
      </c>
      <c r="J8" t="str">
        <f t="shared" si="3"/>
        <v>TO-92_Inline_Wide_custom</v>
      </c>
      <c r="L8" t="str">
        <f t="shared" si="4"/>
        <v xml:space="preserve">| 4 | Q1, Q2, Q3, Q4 | BS170 | TO-92_Inline_Wide_custom |   </v>
      </c>
    </row>
    <row r="9" spans="1:12">
      <c r="A9">
        <v>7</v>
      </c>
      <c r="B9" t="s">
        <v>8</v>
      </c>
      <c r="C9" t="s">
        <v>30</v>
      </c>
      <c r="D9">
        <v>1</v>
      </c>
      <c r="E9" t="s">
        <v>31</v>
      </c>
      <c r="G9">
        <f t="shared" si="0"/>
        <v>1</v>
      </c>
      <c r="H9" t="str">
        <f t="shared" si="1"/>
        <v>R1</v>
      </c>
      <c r="I9" t="str">
        <f t="shared" si="2"/>
        <v>10k</v>
      </c>
      <c r="J9" t="str">
        <f t="shared" si="3"/>
        <v>R_Axial_DIN0204_L3.6mm_D1.6mm_P2.54mm_Vertical</v>
      </c>
      <c r="L9" t="str">
        <f t="shared" si="4"/>
        <v xml:space="preserve">| 1 | R1 | 10k | R_Axial_DIN0204_L3.6mm_D1.6mm_P2.54mm_Vertical |   </v>
      </c>
    </row>
    <row r="10" spans="1:12">
      <c r="A10">
        <v>8</v>
      </c>
      <c r="B10" t="s">
        <v>32</v>
      </c>
      <c r="C10" t="s">
        <v>15</v>
      </c>
      <c r="D10">
        <v>6</v>
      </c>
      <c r="E10" t="s">
        <v>33</v>
      </c>
      <c r="G10">
        <f t="shared" si="0"/>
        <v>6</v>
      </c>
      <c r="H10" t="str">
        <f t="shared" si="1"/>
        <v>R2, R5, R9, R21, R22, R23</v>
      </c>
      <c r="I10" t="str">
        <f t="shared" si="2"/>
        <v>1k</v>
      </c>
      <c r="J10" t="str">
        <f t="shared" si="3"/>
        <v>R_Axial_DIN0204_L3.6mm_D1.6mm_P2.54mm_Vertical_kh</v>
      </c>
      <c r="L10" t="str">
        <f t="shared" si="4"/>
        <v xml:space="preserve">| 6 | R2, R5, R9, R21, R22, R23 | 1k | R_Axial_DIN0204_L3.6mm_D1.6mm_P2.54mm_Vertical_kh |   </v>
      </c>
    </row>
    <row r="11" spans="1:12">
      <c r="A11">
        <v>9</v>
      </c>
      <c r="B11" t="s">
        <v>34</v>
      </c>
      <c r="C11" t="s">
        <v>30</v>
      </c>
      <c r="D11">
        <v>4</v>
      </c>
      <c r="E11" t="s">
        <v>9</v>
      </c>
      <c r="G11">
        <f t="shared" si="0"/>
        <v>4</v>
      </c>
      <c r="H11" t="str">
        <f t="shared" si="1"/>
        <v>R3, R6, R10, R13</v>
      </c>
      <c r="I11" t="str">
        <f t="shared" si="2"/>
        <v>100k</v>
      </c>
      <c r="J11" t="str">
        <f t="shared" si="3"/>
        <v>R_Axial_DIN0204_L3.6mm_D1.6mm_P2.54mm_Vertical</v>
      </c>
      <c r="L11" t="str">
        <f t="shared" si="4"/>
        <v xml:space="preserve">| 4 | R3, R6, R10, R13 | 100k | R_Axial_DIN0204_L3.6mm_D1.6mm_P2.54mm_Vertical |   </v>
      </c>
    </row>
    <row r="12" spans="1:12">
      <c r="A12">
        <v>10</v>
      </c>
      <c r="B12" t="s">
        <v>35</v>
      </c>
      <c r="C12" t="s">
        <v>15</v>
      </c>
      <c r="D12">
        <v>3</v>
      </c>
      <c r="E12" t="s">
        <v>16</v>
      </c>
      <c r="G12">
        <f t="shared" ref="G12" si="5">D12</f>
        <v>3</v>
      </c>
      <c r="H12" t="str">
        <f t="shared" ref="H12" si="6">B12</f>
        <v>R4, R11, R14</v>
      </c>
      <c r="I12" t="str">
        <f t="shared" ref="I12" si="7">E12</f>
        <v>4k7</v>
      </c>
      <c r="J12" t="str">
        <f t="shared" ref="J12" si="8">C12</f>
        <v>R_Axial_DIN0204_L3.6mm_D1.6mm_P2.54mm_Vertical_kh</v>
      </c>
      <c r="L12" t="str">
        <f t="shared" ref="L12" si="9">"| "&amp;G12&amp;" | "&amp;H12&amp;" | "&amp;I12&amp;" | "&amp;J12&amp;" |   "</f>
        <v xml:space="preserve">| 3 | R4, R11, R14 | 4k7 | R_Axial_DIN0204_L3.6mm_D1.6mm_P2.54mm_Vertical_kh |   </v>
      </c>
    </row>
    <row r="13" spans="1:12">
      <c r="A13">
        <v>11</v>
      </c>
      <c r="B13" t="s">
        <v>36</v>
      </c>
      <c r="C13" t="s">
        <v>30</v>
      </c>
      <c r="D13">
        <v>1</v>
      </c>
      <c r="E13" t="s">
        <v>16</v>
      </c>
      <c r="G13">
        <f t="shared" ref="G13:G18" si="10">D13</f>
        <v>1</v>
      </c>
      <c r="H13" t="str">
        <f t="shared" ref="H13:H18" si="11">B13</f>
        <v>R7</v>
      </c>
      <c r="I13" t="str">
        <f t="shared" ref="I13:I18" si="12">E13</f>
        <v>4k7</v>
      </c>
      <c r="J13" t="str">
        <f t="shared" ref="J13:J18" si="13">C13</f>
        <v>R_Axial_DIN0204_L3.6mm_D1.6mm_P2.54mm_Vertical</v>
      </c>
      <c r="L13" t="str">
        <f t="shared" ref="L13:L18" si="14">"| "&amp;G13&amp;" | "&amp;H13&amp;" | "&amp;I13&amp;" | "&amp;J13&amp;" |   "</f>
        <v xml:space="preserve">| 1 | R7 | 4k7 | R_Axial_DIN0204_L3.6mm_D1.6mm_P2.54mm_Vertical |   </v>
      </c>
    </row>
    <row r="14" spans="1:12">
      <c r="A14">
        <v>12</v>
      </c>
      <c r="B14" t="s">
        <v>37</v>
      </c>
      <c r="C14" t="s">
        <v>15</v>
      </c>
      <c r="D14">
        <v>1</v>
      </c>
      <c r="E14" t="s">
        <v>31</v>
      </c>
      <c r="G14">
        <f t="shared" si="10"/>
        <v>1</v>
      </c>
      <c r="H14" t="str">
        <f t="shared" si="11"/>
        <v>R8</v>
      </c>
      <c r="I14" t="str">
        <f t="shared" si="12"/>
        <v>10k</v>
      </c>
      <c r="J14" t="str">
        <f t="shared" si="13"/>
        <v>R_Axial_DIN0204_L3.6mm_D1.6mm_P2.54mm_Vertical_kh</v>
      </c>
      <c r="L14" t="str">
        <f t="shared" si="14"/>
        <v xml:space="preserve">| 1 | R8 | 10k | R_Axial_DIN0204_L3.6mm_D1.6mm_P2.54mm_Vertical_kh |   </v>
      </c>
    </row>
    <row r="15" spans="1:12">
      <c r="A15">
        <v>13</v>
      </c>
      <c r="B15" t="s">
        <v>38</v>
      </c>
      <c r="C15" t="s">
        <v>30</v>
      </c>
      <c r="D15">
        <v>2</v>
      </c>
      <c r="E15" t="s">
        <v>33</v>
      </c>
      <c r="G15">
        <f t="shared" si="10"/>
        <v>2</v>
      </c>
      <c r="H15" t="str">
        <f t="shared" si="11"/>
        <v>R12, R15</v>
      </c>
      <c r="I15" t="str">
        <f t="shared" si="12"/>
        <v>1k</v>
      </c>
      <c r="J15" t="str">
        <f t="shared" si="13"/>
        <v>R_Axial_DIN0204_L3.6mm_D1.6mm_P2.54mm_Vertical</v>
      </c>
      <c r="L15" t="str">
        <f t="shared" si="14"/>
        <v xml:space="preserve">| 2 | R12, R15 | 1k | R_Axial_DIN0204_L3.6mm_D1.6mm_P2.54mm_Vertical |   </v>
      </c>
    </row>
    <row r="16" spans="1:12">
      <c r="A16">
        <v>14</v>
      </c>
      <c r="B16" t="s">
        <v>39</v>
      </c>
      <c r="C16" t="s">
        <v>40</v>
      </c>
      <c r="D16">
        <v>1</v>
      </c>
      <c r="E16">
        <v>47</v>
      </c>
      <c r="G16">
        <f t="shared" si="10"/>
        <v>1</v>
      </c>
      <c r="H16" t="str">
        <f t="shared" si="11"/>
        <v>R16</v>
      </c>
      <c r="I16">
        <f t="shared" si="12"/>
        <v>47</v>
      </c>
      <c r="J16" t="str">
        <f t="shared" si="13"/>
        <v>R_Axial_DIN0204_L3.6mm_D1.6mm_P3.81mm_Vertical_kh</v>
      </c>
      <c r="L16" t="str">
        <f t="shared" si="14"/>
        <v xml:space="preserve">| 1 | R16 | 47 | R_Axial_DIN0204_L3.6mm_D1.6mm_P3.81mm_Vertical_kh |   </v>
      </c>
    </row>
    <row r="17" spans="1:12">
      <c r="A17">
        <v>15</v>
      </c>
      <c r="B17" t="s">
        <v>41</v>
      </c>
      <c r="C17" t="s">
        <v>42</v>
      </c>
      <c r="D17">
        <v>1</v>
      </c>
      <c r="E17">
        <v>47</v>
      </c>
      <c r="G17">
        <f t="shared" si="10"/>
        <v>1</v>
      </c>
      <c r="H17" t="str">
        <f t="shared" si="11"/>
        <v>R17</v>
      </c>
      <c r="I17">
        <f t="shared" si="12"/>
        <v>47</v>
      </c>
      <c r="J17" t="str">
        <f t="shared" si="13"/>
        <v>R_Axial_DIN0207_L6.3mm_D2.5mm_P12.7mm_Horizontal_kh</v>
      </c>
      <c r="L17" t="str">
        <f t="shared" si="14"/>
        <v xml:space="preserve">| 1 | R17 | 47 | R_Axial_DIN0207_L6.3mm_D2.5mm_P12.7mm_Horizontal_kh |   </v>
      </c>
    </row>
    <row r="18" spans="1:12">
      <c r="A18">
        <v>16</v>
      </c>
      <c r="B18" t="s">
        <v>43</v>
      </c>
      <c r="C18" t="s">
        <v>44</v>
      </c>
      <c r="D18">
        <v>2</v>
      </c>
      <c r="E18" t="s">
        <v>44</v>
      </c>
      <c r="G18">
        <f t="shared" si="10"/>
        <v>2</v>
      </c>
      <c r="H18" t="str">
        <f t="shared" si="11"/>
        <v>SW1, SW2</v>
      </c>
      <c r="I18" t="str">
        <f t="shared" si="12"/>
        <v>SW_Push_DPDT_8x8</v>
      </c>
      <c r="J18" t="str">
        <f t="shared" si="13"/>
        <v>SW_Push_DPDT_8x8</v>
      </c>
      <c r="L18" t="str">
        <f t="shared" si="14"/>
        <v xml:space="preserve">| 2 | SW1, SW2 | SW_Push_DPDT_8x8 | SW_Push_DPDT_8x8 |   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RCC_TUI_M_LED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Hartinger</dc:creator>
  <cp:lastModifiedBy>Karl Hartinger</cp:lastModifiedBy>
  <dcterms:created xsi:type="dcterms:W3CDTF">2026-07-11T16:28:25Z</dcterms:created>
  <dcterms:modified xsi:type="dcterms:W3CDTF">2026-09-08T15:17:36Z</dcterms:modified>
</cp:coreProperties>
</file>