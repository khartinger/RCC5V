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RCC_RGY_TVn_LED_V2" sheetId="1" r:id="rId1"/>
  </sheets>
  <calcPr calcId="125725"/>
</workbook>
</file>

<file path=xl/calcChain.xml><?xml version="1.0" encoding="utf-8"?>
<calcChain xmlns="http://schemas.openxmlformats.org/spreadsheetml/2006/main">
  <c r="G19" i="1"/>
  <c r="L19" s="1"/>
  <c r="H19"/>
  <c r="I19"/>
  <c r="J19"/>
  <c r="G20"/>
  <c r="H20"/>
  <c r="I20"/>
  <c r="J20"/>
  <c r="L20"/>
  <c r="G21"/>
  <c r="L21" s="1"/>
  <c r="H21"/>
  <c r="I21"/>
  <c r="J2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L17" s="1"/>
  <c r="I17"/>
  <c r="J17"/>
  <c r="G18"/>
  <c r="H18"/>
  <c r="I18"/>
  <c r="J18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J3"/>
  <c r="I3"/>
  <c r="H3"/>
  <c r="G3"/>
  <c r="L2"/>
  <c r="L1"/>
  <c r="L14" l="1"/>
  <c r="L18"/>
  <c r="L12"/>
  <c r="L16"/>
  <c r="L15"/>
  <c r="L13"/>
  <c r="L3"/>
  <c r="L6"/>
  <c r="L10"/>
  <c r="L9"/>
  <c r="L4"/>
  <c r="L8"/>
  <c r="L7"/>
  <c r="L5"/>
  <c r="L11"/>
</calcChain>
</file>

<file path=xl/sharedStrings.xml><?xml version="1.0" encoding="utf-8"?>
<sst xmlns="http://schemas.openxmlformats.org/spreadsheetml/2006/main" count="91" uniqueCount="52">
  <si>
    <t>ID</t>
  </si>
  <si>
    <t>Bezeichner</t>
  </si>
  <si>
    <t>Footprint</t>
  </si>
  <si>
    <t>Bezeichnung</t>
  </si>
  <si>
    <t>C1</t>
  </si>
  <si>
    <t>BAT48</t>
  </si>
  <si>
    <t>J1, J2</t>
  </si>
  <si>
    <t>Conn_01x08_Pin</t>
  </si>
  <si>
    <t>R1</t>
  </si>
  <si>
    <t>R_Axial_DIN0204_L3.6mm_D1.6mm_P2.54mm_Vertical</t>
  </si>
  <si>
    <t>100k</t>
  </si>
  <si>
    <t>Anzahl</t>
  </si>
  <si>
    <t>Referenz</t>
  </si>
  <si>
    <t>Wert</t>
  </si>
  <si>
    <t>-----</t>
  </si>
  <si>
    <t>Geh&amp;auml;use</t>
  </si>
  <si>
    <t>1u</t>
  </si>
  <si>
    <t>D1, D2, D3</t>
  </si>
  <si>
    <t>LED_D5.0mm-3</t>
  </si>
  <si>
    <t>LED_Dual_AKA</t>
  </si>
  <si>
    <t>D4</t>
  </si>
  <si>
    <t>PinSocket_1x08_P2.54mm_Vertical_11mm_kh</t>
  </si>
  <si>
    <t>TO-92_Inline_Wide_custom</t>
  </si>
  <si>
    <t>BC337</t>
  </si>
  <si>
    <t>R_Axial_DIN0204_L3.6mm_D1.6mm_P7.62mm_Horizontal</t>
  </si>
  <si>
    <t>10k</t>
  </si>
  <si>
    <t>R_Axial_DIN0204_L3.6mm_D1.6mm_P2.54mm_Vertical_kh</t>
  </si>
  <si>
    <t>4k7</t>
  </si>
  <si>
    <t>R7</t>
  </si>
  <si>
    <t>R_Axial_DIN0204_L3.6mm_D1.6mm_P3.81mm_Vertical_kh</t>
  </si>
  <si>
    <t>R13</t>
  </si>
  <si>
    <t>SW_Push_DPDT_8x8</t>
  </si>
  <si>
    <t xml:space="preserve"> </t>
  </si>
  <si>
    <t>Stückzahl</t>
  </si>
  <si>
    <t>SW1, SW3</t>
  </si>
  <si>
    <t>C_L4.3mm_D2.8mm_P5.08mm_kh</t>
  </si>
  <si>
    <t>D_DO-35_P3.81mm_Vertical_AnodeUp_kh</t>
  </si>
  <si>
    <t>1N4148</t>
  </si>
  <si>
    <t>D5</t>
  </si>
  <si>
    <t>D_DO-35_P2.0mm_Vertical_AnodeUp_kh</t>
  </si>
  <si>
    <t>D6, D7</t>
  </si>
  <si>
    <t>D_DO-35_SOD27_P2.54mm_Vertical_AnodeUp_kh</t>
  </si>
  <si>
    <t>Q1, Q2, Q3, Q4, Q5</t>
  </si>
  <si>
    <t>R2, R3, R9, R10</t>
  </si>
  <si>
    <t>R4</t>
  </si>
  <si>
    <t>R_Axial_DIN0204_L3.6mm_D1.6mm_P17.78mm_Horizontal</t>
  </si>
  <si>
    <t>R5, R11</t>
  </si>
  <si>
    <t>R6</t>
  </si>
  <si>
    <t>R8</t>
  </si>
  <si>
    <t>R12</t>
  </si>
  <si>
    <t>R14</t>
  </si>
  <si>
    <t>R15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</si>
</sst>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quotePrefix="1" applyFill="1"/>
    <xf numFmtId="0" fontId="0" fillId="34" borderId="0" xfId="0" applyFill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G18" sqref="G18:O21"/>
    </sheetView>
  </sheetViews>
  <sheetFormatPr baseColWidth="10" defaultRowHeight="15"/>
  <cols>
    <col min="1" max="1" width="5" customWidth="1"/>
    <col min="2" max="2" width="9" customWidth="1"/>
    <col min="3" max="3" width="25.14062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33.140625" customWidth="1"/>
    <col min="11" max="11" width="3.42578125" style="1" customWidth="1"/>
    <col min="12" max="12" width="42.140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  <c r="G1" s="3" t="s">
        <v>11</v>
      </c>
      <c r="H1" s="3" t="s">
        <v>12</v>
      </c>
      <c r="I1" s="3" t="s">
        <v>13</v>
      </c>
      <c r="J1" s="3" t="s">
        <v>15</v>
      </c>
      <c r="K1" s="1" t="s">
        <v>32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A2" s="3"/>
      <c r="B2" s="3"/>
      <c r="C2" s="3"/>
      <c r="D2" s="3"/>
      <c r="E2" s="3"/>
      <c r="G2" s="2" t="s">
        <v>14</v>
      </c>
      <c r="H2" s="2" t="s">
        <v>14</v>
      </c>
      <c r="I2" s="2" t="s">
        <v>14</v>
      </c>
      <c r="J2" s="2" t="s">
        <v>14</v>
      </c>
      <c r="K2" s="1" t="s">
        <v>32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4</v>
      </c>
      <c r="C3" t="s">
        <v>35</v>
      </c>
      <c r="D3">
        <v>1</v>
      </c>
      <c r="E3" t="s">
        <v>16</v>
      </c>
      <c r="G3">
        <f>D3</f>
        <v>1</v>
      </c>
      <c r="H3" t="str">
        <f>B3</f>
        <v>C1</v>
      </c>
      <c r="I3" t="str">
        <f>E3</f>
        <v>1u</v>
      </c>
      <c r="J3" t="str">
        <f>C3</f>
        <v>C_L4.3mm_D2.8mm_P5.08mm_kh</v>
      </c>
      <c r="K3" s="1" t="s">
        <v>32</v>
      </c>
      <c r="L3" t="str">
        <f>"| "&amp;G3&amp;" | "&amp;H3&amp;" | "&amp;I3&amp;" | "&amp;J3&amp;" |   "</f>
        <v xml:space="preserve">| 1 | C1 | 1u | C_L4.3mm_D2.8mm_P5.08mm_kh |   </v>
      </c>
    </row>
    <row r="4" spans="1:12">
      <c r="A4">
        <v>2</v>
      </c>
      <c r="B4" t="s">
        <v>17</v>
      </c>
      <c r="C4" t="s">
        <v>18</v>
      </c>
      <c r="D4">
        <v>3</v>
      </c>
      <c r="E4" t="s">
        <v>19</v>
      </c>
      <c r="G4">
        <f t="shared" ref="G4:G11" si="0">D4</f>
        <v>3</v>
      </c>
      <c r="H4" t="str">
        <f t="shared" ref="H4:H11" si="1">B4</f>
        <v>D1, D2, D3</v>
      </c>
      <c r="I4" t="str">
        <f t="shared" ref="I4:I11" si="2">E4</f>
        <v>LED_Dual_AKA</v>
      </c>
      <c r="J4" t="str">
        <f t="shared" ref="J4:J11" si="3">C4</f>
        <v>LED_D5.0mm-3</v>
      </c>
      <c r="K4" s="1" t="s">
        <v>32</v>
      </c>
      <c r="L4" t="str">
        <f t="shared" ref="L4:L11" si="4">"| "&amp;G4&amp;" | "&amp;H4&amp;" | "&amp;I4&amp;" | "&amp;J4&amp;" |   "</f>
        <v xml:space="preserve">| 3 | D1, D2, D3 | LED_Dual_AKA | LED_D5.0mm-3 |   </v>
      </c>
    </row>
    <row r="5" spans="1:12">
      <c r="A5">
        <v>3</v>
      </c>
      <c r="B5" t="s">
        <v>20</v>
      </c>
      <c r="C5" t="s">
        <v>36</v>
      </c>
      <c r="D5">
        <v>1</v>
      </c>
      <c r="E5" t="s">
        <v>37</v>
      </c>
      <c r="G5">
        <f t="shared" si="0"/>
        <v>1</v>
      </c>
      <c r="H5" t="str">
        <f t="shared" si="1"/>
        <v>D4</v>
      </c>
      <c r="I5" t="str">
        <f t="shared" si="2"/>
        <v>1N4148</v>
      </c>
      <c r="J5" t="str">
        <f t="shared" si="3"/>
        <v>D_DO-35_P3.81mm_Vertical_AnodeUp_kh</v>
      </c>
      <c r="K5" s="1" t="s">
        <v>32</v>
      </c>
      <c r="L5" t="str">
        <f t="shared" si="4"/>
        <v xml:space="preserve">| 1 | D4 | 1N4148 | D_DO-35_P3.81mm_Vertical_AnodeUp_kh |   </v>
      </c>
    </row>
    <row r="6" spans="1:12">
      <c r="A6">
        <v>4</v>
      </c>
      <c r="B6" t="s">
        <v>38</v>
      </c>
      <c r="C6" t="s">
        <v>39</v>
      </c>
      <c r="D6">
        <v>1</v>
      </c>
      <c r="E6" t="s">
        <v>37</v>
      </c>
      <c r="G6">
        <f t="shared" si="0"/>
        <v>1</v>
      </c>
      <c r="H6" t="str">
        <f t="shared" si="1"/>
        <v>D5</v>
      </c>
      <c r="I6" t="str">
        <f t="shared" si="2"/>
        <v>1N4148</v>
      </c>
      <c r="J6" t="str">
        <f t="shared" si="3"/>
        <v>D_DO-35_P2.0mm_Vertical_AnodeUp_kh</v>
      </c>
      <c r="K6" s="1" t="s">
        <v>32</v>
      </c>
      <c r="L6" t="str">
        <f t="shared" si="4"/>
        <v xml:space="preserve">| 1 | D5 | 1N4148 | D_DO-35_P2.0mm_Vertical_AnodeUp_kh |   </v>
      </c>
    </row>
    <row r="7" spans="1:12">
      <c r="A7">
        <v>5</v>
      </c>
      <c r="B7" t="s">
        <v>40</v>
      </c>
      <c r="C7" t="s">
        <v>41</v>
      </c>
      <c r="D7">
        <v>2</v>
      </c>
      <c r="E7" t="s">
        <v>5</v>
      </c>
      <c r="G7">
        <f t="shared" si="0"/>
        <v>2</v>
      </c>
      <c r="H7" t="str">
        <f t="shared" si="1"/>
        <v>D6, D7</v>
      </c>
      <c r="I7" t="str">
        <f t="shared" si="2"/>
        <v>BAT48</v>
      </c>
      <c r="J7" t="str">
        <f t="shared" si="3"/>
        <v>D_DO-35_SOD27_P2.54mm_Vertical_AnodeUp_kh</v>
      </c>
      <c r="K7" s="1" t="s">
        <v>32</v>
      </c>
      <c r="L7" t="str">
        <f t="shared" si="4"/>
        <v xml:space="preserve">| 2 | D6, D7 | BAT48 | D_DO-35_SOD27_P2.54mm_Vertical_AnodeUp_kh |   </v>
      </c>
    </row>
    <row r="8" spans="1:12">
      <c r="A8">
        <v>6</v>
      </c>
      <c r="B8" t="s">
        <v>6</v>
      </c>
      <c r="C8" t="s">
        <v>21</v>
      </c>
      <c r="D8">
        <v>2</v>
      </c>
      <c r="E8" t="s">
        <v>7</v>
      </c>
      <c r="G8">
        <f t="shared" si="0"/>
        <v>2</v>
      </c>
      <c r="H8" t="str">
        <f t="shared" si="1"/>
        <v>J1, J2</v>
      </c>
      <c r="I8" t="str">
        <f t="shared" si="2"/>
        <v>Conn_01x08_Pin</v>
      </c>
      <c r="J8" t="str">
        <f t="shared" si="3"/>
        <v>PinSocket_1x08_P2.54mm_Vertical_11mm_kh</v>
      </c>
      <c r="K8" s="1" t="s">
        <v>32</v>
      </c>
      <c r="L8" t="str">
        <f t="shared" si="4"/>
        <v xml:space="preserve">| 2 | J1, J2 | Conn_01x08_Pin | PinSocket_1x08_P2.54mm_Vertical_11mm_kh |   </v>
      </c>
    </row>
    <row r="9" spans="1:12">
      <c r="A9">
        <v>7</v>
      </c>
      <c r="B9" t="s">
        <v>42</v>
      </c>
      <c r="C9" t="s">
        <v>22</v>
      </c>
      <c r="D9">
        <v>5</v>
      </c>
      <c r="E9" t="s">
        <v>23</v>
      </c>
      <c r="G9">
        <f t="shared" si="0"/>
        <v>5</v>
      </c>
      <c r="H9" t="str">
        <f t="shared" si="1"/>
        <v>Q1, Q2, Q3, Q4, Q5</v>
      </c>
      <c r="I9" t="str">
        <f t="shared" si="2"/>
        <v>BC337</v>
      </c>
      <c r="J9" t="str">
        <f t="shared" si="3"/>
        <v>TO-92_Inline_Wide_custom</v>
      </c>
      <c r="K9" s="1" t="s">
        <v>32</v>
      </c>
      <c r="L9" t="str">
        <f t="shared" si="4"/>
        <v xml:space="preserve">| 5 | Q1, Q2, Q3, Q4, Q5 | BC337 | TO-92_Inline_Wide_custom |   </v>
      </c>
    </row>
    <row r="10" spans="1:12">
      <c r="A10">
        <v>8</v>
      </c>
      <c r="B10" t="s">
        <v>8</v>
      </c>
      <c r="C10" t="s">
        <v>26</v>
      </c>
      <c r="D10">
        <v>1</v>
      </c>
      <c r="E10">
        <v>680</v>
      </c>
      <c r="G10">
        <f t="shared" si="0"/>
        <v>1</v>
      </c>
      <c r="H10" t="str">
        <f t="shared" si="1"/>
        <v>R1</v>
      </c>
      <c r="I10">
        <f t="shared" si="2"/>
        <v>680</v>
      </c>
      <c r="J10" t="str">
        <f t="shared" si="3"/>
        <v>R_Axial_DIN0204_L3.6mm_D1.6mm_P2.54mm_Vertical_kh</v>
      </c>
      <c r="K10" s="1" t="s">
        <v>32</v>
      </c>
      <c r="L10" t="str">
        <f t="shared" si="4"/>
        <v xml:space="preserve">| 1 | R1 | 680 | R_Axial_DIN0204_L3.6mm_D1.6mm_P2.54mm_Vertical_kh |   </v>
      </c>
    </row>
    <row r="11" spans="1:12">
      <c r="A11">
        <v>9</v>
      </c>
      <c r="B11" t="s">
        <v>43</v>
      </c>
      <c r="C11" t="s">
        <v>9</v>
      </c>
      <c r="D11">
        <v>4</v>
      </c>
      <c r="E11" t="s">
        <v>25</v>
      </c>
      <c r="G11">
        <f t="shared" si="0"/>
        <v>4</v>
      </c>
      <c r="H11" t="str">
        <f t="shared" si="1"/>
        <v>R2, R3, R9, R10</v>
      </c>
      <c r="I11" t="str">
        <f t="shared" si="2"/>
        <v>10k</v>
      </c>
      <c r="J11" t="str">
        <f t="shared" si="3"/>
        <v>R_Axial_DIN0204_L3.6mm_D1.6mm_P2.54mm_Vertical</v>
      </c>
      <c r="K11" s="1" t="s">
        <v>32</v>
      </c>
      <c r="L11" t="str">
        <f t="shared" si="4"/>
        <v xml:space="preserve">| 4 | R2, R3, R9, R10 | 10k | R_Axial_DIN0204_L3.6mm_D1.6mm_P2.54mm_Vertical |   </v>
      </c>
    </row>
    <row r="12" spans="1:12">
      <c r="A12">
        <v>10</v>
      </c>
      <c r="B12" t="s">
        <v>44</v>
      </c>
      <c r="C12" t="s">
        <v>45</v>
      </c>
      <c r="D12">
        <v>1</v>
      </c>
      <c r="E12" t="s">
        <v>25</v>
      </c>
      <c r="G12">
        <f t="shared" ref="G12:G18" si="5">D12</f>
        <v>1</v>
      </c>
      <c r="H12" t="str">
        <f t="shared" ref="H12:H18" si="6">B12</f>
        <v>R4</v>
      </c>
      <c r="I12" t="str">
        <f t="shared" ref="I12:I18" si="7">E12</f>
        <v>10k</v>
      </c>
      <c r="J12" t="str">
        <f t="shared" ref="J12:J18" si="8">C12</f>
        <v>R_Axial_DIN0204_L3.6mm_D1.6mm_P17.78mm_Horizontal</v>
      </c>
      <c r="K12" s="1" t="s">
        <v>32</v>
      </c>
      <c r="L12" t="str">
        <f t="shared" ref="L12:L18" si="9">"| "&amp;G12&amp;" | "&amp;H12&amp;" | "&amp;I12&amp;" | "&amp;J12&amp;" |   "</f>
        <v xml:space="preserve">| 1 | R4 | 10k | R_Axial_DIN0204_L3.6mm_D1.6mm_P17.78mm_Horizontal |   </v>
      </c>
    </row>
    <row r="13" spans="1:12">
      <c r="A13">
        <v>11</v>
      </c>
      <c r="B13" t="s">
        <v>46</v>
      </c>
      <c r="C13" t="s">
        <v>9</v>
      </c>
      <c r="D13">
        <v>2</v>
      </c>
      <c r="E13" t="s">
        <v>10</v>
      </c>
      <c r="G13">
        <f t="shared" si="5"/>
        <v>2</v>
      </c>
      <c r="H13" t="str">
        <f t="shared" si="6"/>
        <v>R5, R11</v>
      </c>
      <c r="I13" t="str">
        <f t="shared" si="7"/>
        <v>100k</v>
      </c>
      <c r="J13" t="str">
        <f t="shared" si="8"/>
        <v>R_Axial_DIN0204_L3.6mm_D1.6mm_P2.54mm_Vertical</v>
      </c>
      <c r="K13" s="1" t="s">
        <v>32</v>
      </c>
      <c r="L13" t="str">
        <f t="shared" si="9"/>
        <v xml:space="preserve">| 2 | R5, R11 | 100k | R_Axial_DIN0204_L3.6mm_D1.6mm_P2.54mm_Vertical |   </v>
      </c>
    </row>
    <row r="14" spans="1:12">
      <c r="A14">
        <v>12</v>
      </c>
      <c r="B14" t="s">
        <v>47</v>
      </c>
      <c r="C14" t="s">
        <v>26</v>
      </c>
      <c r="D14">
        <v>1</v>
      </c>
      <c r="E14" t="s">
        <v>10</v>
      </c>
      <c r="G14">
        <f t="shared" si="5"/>
        <v>1</v>
      </c>
      <c r="H14" t="str">
        <f t="shared" si="6"/>
        <v>R6</v>
      </c>
      <c r="I14" t="str">
        <f t="shared" si="7"/>
        <v>100k</v>
      </c>
      <c r="J14" t="str">
        <f t="shared" si="8"/>
        <v>R_Axial_DIN0204_L3.6mm_D1.6mm_P2.54mm_Vertical_kh</v>
      </c>
      <c r="K14" s="1" t="s">
        <v>32</v>
      </c>
      <c r="L14" t="str">
        <f t="shared" si="9"/>
        <v xml:space="preserve">| 1 | R6 | 100k | R_Axial_DIN0204_L3.6mm_D1.6mm_P2.54mm_Vertical_kh |   </v>
      </c>
    </row>
    <row r="15" spans="1:12">
      <c r="A15">
        <v>13</v>
      </c>
      <c r="B15" t="s">
        <v>28</v>
      </c>
      <c r="C15" t="s">
        <v>24</v>
      </c>
      <c r="D15">
        <v>1</v>
      </c>
      <c r="E15" t="s">
        <v>25</v>
      </c>
      <c r="G15">
        <f t="shared" si="5"/>
        <v>1</v>
      </c>
      <c r="H15" t="str">
        <f t="shared" si="6"/>
        <v>R7</v>
      </c>
      <c r="I15" t="str">
        <f t="shared" si="7"/>
        <v>10k</v>
      </c>
      <c r="J15" t="str">
        <f t="shared" si="8"/>
        <v>R_Axial_DIN0204_L3.6mm_D1.6mm_P7.62mm_Horizontal</v>
      </c>
      <c r="K15" s="1" t="s">
        <v>32</v>
      </c>
      <c r="L15" t="str">
        <f t="shared" si="9"/>
        <v xml:space="preserve">| 1 | R7 | 10k | R_Axial_DIN0204_L3.6mm_D1.6mm_P7.62mm_Horizontal |   </v>
      </c>
    </row>
    <row r="16" spans="1:12">
      <c r="A16">
        <v>14</v>
      </c>
      <c r="B16" t="s">
        <v>48</v>
      </c>
      <c r="C16" t="s">
        <v>29</v>
      </c>
      <c r="D16">
        <v>1</v>
      </c>
      <c r="E16" t="s">
        <v>10</v>
      </c>
      <c r="G16">
        <f t="shared" si="5"/>
        <v>1</v>
      </c>
      <c r="H16" t="str">
        <f t="shared" si="6"/>
        <v>R8</v>
      </c>
      <c r="I16" t="str">
        <f t="shared" si="7"/>
        <v>100k</v>
      </c>
      <c r="J16" t="str">
        <f t="shared" si="8"/>
        <v>R_Axial_DIN0204_L3.6mm_D1.6mm_P3.81mm_Vertical_kh</v>
      </c>
      <c r="K16" s="1" t="s">
        <v>32</v>
      </c>
      <c r="L16" t="str">
        <f t="shared" si="9"/>
        <v xml:space="preserve">| 1 | R8 | 100k | R_Axial_DIN0204_L3.6mm_D1.6mm_P3.81mm_Vertical_kh |   </v>
      </c>
    </row>
    <row r="17" spans="1:12">
      <c r="A17">
        <v>15</v>
      </c>
      <c r="B17" t="s">
        <v>49</v>
      </c>
      <c r="C17" t="s">
        <v>9</v>
      </c>
      <c r="D17">
        <v>1</v>
      </c>
      <c r="E17" t="s">
        <v>27</v>
      </c>
      <c r="G17">
        <f t="shared" si="5"/>
        <v>1</v>
      </c>
      <c r="H17" t="str">
        <f t="shared" si="6"/>
        <v>R12</v>
      </c>
      <c r="I17" t="str">
        <f t="shared" si="7"/>
        <v>4k7</v>
      </c>
      <c r="J17" t="str">
        <f t="shared" si="8"/>
        <v>R_Axial_DIN0204_L3.6mm_D1.6mm_P2.54mm_Vertical</v>
      </c>
      <c r="K17" s="1" t="s">
        <v>32</v>
      </c>
      <c r="L17" t="str">
        <f t="shared" si="9"/>
        <v xml:space="preserve">| 1 | R12 | 4k7 | R_Axial_DIN0204_L3.6mm_D1.6mm_P2.54mm_Vertical |   </v>
      </c>
    </row>
    <row r="18" spans="1:12">
      <c r="A18">
        <v>16</v>
      </c>
      <c r="B18" t="s">
        <v>30</v>
      </c>
      <c r="C18" t="s">
        <v>29</v>
      </c>
      <c r="D18">
        <v>1</v>
      </c>
      <c r="E18" t="s">
        <v>27</v>
      </c>
      <c r="G18">
        <f t="shared" si="5"/>
        <v>1</v>
      </c>
      <c r="H18" t="str">
        <f t="shared" si="6"/>
        <v>R13</v>
      </c>
      <c r="I18" t="str">
        <f t="shared" si="7"/>
        <v>4k7</v>
      </c>
      <c r="J18" t="str">
        <f t="shared" si="8"/>
        <v>R_Axial_DIN0204_L3.6mm_D1.6mm_P3.81mm_Vertical_kh</v>
      </c>
      <c r="K18" s="1" t="s">
        <v>32</v>
      </c>
      <c r="L18" t="str">
        <f t="shared" si="9"/>
        <v xml:space="preserve">| 1 | R13 | 4k7 | R_Axial_DIN0204_L3.6mm_D1.6mm_P3.81mm_Vertical_kh |   </v>
      </c>
    </row>
    <row r="19" spans="1:12">
      <c r="A19">
        <v>17</v>
      </c>
      <c r="B19" t="s">
        <v>50</v>
      </c>
      <c r="C19" t="s">
        <v>26</v>
      </c>
      <c r="D19">
        <v>1</v>
      </c>
      <c r="E19">
        <v>47</v>
      </c>
      <c r="G19">
        <f t="shared" ref="G19:G21" si="10">D19</f>
        <v>1</v>
      </c>
      <c r="H19" t="str">
        <f t="shared" ref="H19:H21" si="11">B19</f>
        <v>R14</v>
      </c>
      <c r="I19">
        <f t="shared" ref="I19:I21" si="12">E19</f>
        <v>47</v>
      </c>
      <c r="J19" t="str">
        <f t="shared" ref="J19:J21" si="13">C19</f>
        <v>R_Axial_DIN0204_L3.6mm_D1.6mm_P2.54mm_Vertical_kh</v>
      </c>
      <c r="K19" s="1" t="s">
        <v>32</v>
      </c>
      <c r="L19" t="str">
        <f t="shared" ref="L19:L21" si="14">"| "&amp;G19&amp;" | "&amp;H19&amp;" | "&amp;I19&amp;" | "&amp;J19&amp;" |   "</f>
        <v xml:space="preserve">| 1 | R14 | 47 | R_Axial_DIN0204_L3.6mm_D1.6mm_P2.54mm_Vertical_kh |   </v>
      </c>
    </row>
    <row r="20" spans="1:12">
      <c r="A20">
        <v>18</v>
      </c>
      <c r="B20" t="s">
        <v>51</v>
      </c>
      <c r="C20" t="s">
        <v>24</v>
      </c>
      <c r="D20">
        <v>1</v>
      </c>
      <c r="E20">
        <v>47</v>
      </c>
      <c r="G20">
        <f t="shared" si="10"/>
        <v>1</v>
      </c>
      <c r="H20" t="str">
        <f t="shared" si="11"/>
        <v>R15</v>
      </c>
      <c r="I20">
        <f t="shared" si="12"/>
        <v>47</v>
      </c>
      <c r="J20" t="str">
        <f t="shared" si="13"/>
        <v>R_Axial_DIN0204_L3.6mm_D1.6mm_P7.62mm_Horizontal</v>
      </c>
      <c r="K20" s="1" t="s">
        <v>32</v>
      </c>
      <c r="L20" t="str">
        <f t="shared" si="14"/>
        <v xml:space="preserve">| 1 | R15 | 47 | R_Axial_DIN0204_L3.6mm_D1.6mm_P7.62mm_Horizontal |   </v>
      </c>
    </row>
    <row r="21" spans="1:12">
      <c r="A21">
        <v>19</v>
      </c>
      <c r="B21" t="s">
        <v>34</v>
      </c>
      <c r="C21" t="s">
        <v>31</v>
      </c>
      <c r="D21">
        <v>2</v>
      </c>
      <c r="E21" t="s">
        <v>31</v>
      </c>
      <c r="G21">
        <f t="shared" si="10"/>
        <v>2</v>
      </c>
      <c r="H21" t="str">
        <f t="shared" si="11"/>
        <v>SW1, SW3</v>
      </c>
      <c r="I21" t="str">
        <f t="shared" si="12"/>
        <v>SW_Push_DPDT_8x8</v>
      </c>
      <c r="J21" t="str">
        <f t="shared" si="13"/>
        <v>SW_Push_DPDT_8x8</v>
      </c>
      <c r="K21" s="1" t="s">
        <v>32</v>
      </c>
      <c r="L21" t="str">
        <f t="shared" si="14"/>
        <v xml:space="preserve">| 2 | SW1, SW3 | SW_Push_DPDT_8x8 | SW_Push_DPDT_8x8 |   </v>
      </c>
    </row>
    <row r="22" spans="1:12">
      <c r="K22" s="1" t="s">
        <v>32</v>
      </c>
    </row>
    <row r="23" spans="1:12">
      <c r="K23" s="1" t="s">
        <v>32</v>
      </c>
    </row>
    <row r="24" spans="1:12">
      <c r="K24" s="1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RCC_RGY_TVn_LED_V2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2026-10-01T11:46:24Z</dcterms:modified>
</cp:coreProperties>
</file>