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22890" windowHeight="11595"/>
  </bookViews>
  <sheets>
    <sheet name="dcc_track_UI_TVn_V1" sheetId="1" r:id="rId1"/>
  </sheets>
  <calcPr calcId="125725"/>
</workbook>
</file>

<file path=xl/calcChain.xml><?xml version="1.0" encoding="utf-8"?>
<calcChain xmlns="http://schemas.openxmlformats.org/spreadsheetml/2006/main">
  <c r="G12" i="1"/>
  <c r="H12"/>
  <c r="I12"/>
  <c r="J12"/>
  <c r="G13"/>
  <c r="H13"/>
  <c r="I13"/>
  <c r="J13"/>
  <c r="G4"/>
  <c r="H4"/>
  <c r="I4"/>
  <c r="J4"/>
  <c r="G5"/>
  <c r="H5"/>
  <c r="I5"/>
  <c r="J5"/>
  <c r="G6"/>
  <c r="H6"/>
  <c r="I6"/>
  <c r="J6"/>
  <c r="G7"/>
  <c r="H7"/>
  <c r="I7"/>
  <c r="J7"/>
  <c r="G8"/>
  <c r="H8"/>
  <c r="I8"/>
  <c r="J8"/>
  <c r="G9"/>
  <c r="H9"/>
  <c r="I9"/>
  <c r="J9"/>
  <c r="G10"/>
  <c r="H10"/>
  <c r="I10"/>
  <c r="J10"/>
  <c r="G11"/>
  <c r="H11"/>
  <c r="I11"/>
  <c r="J11"/>
  <c r="J3"/>
  <c r="I3"/>
  <c r="H3"/>
  <c r="G3"/>
  <c r="L2"/>
  <c r="L1"/>
  <c r="L13" l="1"/>
  <c r="L12"/>
  <c r="L9"/>
  <c r="L7"/>
  <c r="L3"/>
  <c r="L6"/>
  <c r="L5"/>
  <c r="L11"/>
  <c r="L4"/>
  <c r="L10"/>
  <c r="L8"/>
</calcChain>
</file>

<file path=xl/sharedStrings.xml><?xml version="1.0" encoding="utf-8"?>
<sst xmlns="http://schemas.openxmlformats.org/spreadsheetml/2006/main" count="45" uniqueCount="39">
  <si>
    <t>ID</t>
  </si>
  <si>
    <t>Bezeichner</t>
  </si>
  <si>
    <t>Footprint</t>
  </si>
  <si>
    <t>Bezeichnung</t>
  </si>
  <si>
    <t>Anzahl</t>
  </si>
  <si>
    <t>Referenz</t>
  </si>
  <si>
    <t>Wert</t>
  </si>
  <si>
    <t>-----</t>
  </si>
  <si>
    <t>Geh&amp;auml;use</t>
  </si>
  <si>
    <t>Stückzahl</t>
  </si>
  <si>
    <t>1N4007</t>
  </si>
  <si>
    <t>Screw_Terminal_01x02_P5</t>
  </si>
  <si>
    <t>Box_02x03_P2.54mm_Vertical_kh</t>
  </si>
  <si>
    <t>Box_02x03_P2.54_Vertical</t>
  </si>
  <si>
    <t>U1</t>
  </si>
  <si>
    <t>C1</t>
  </si>
  <si>
    <t>CP_Radial_L16.8mm_D10.0mm_P5.08mm_Horizontal_small_2</t>
  </si>
  <si>
    <t>1000uF/35V</t>
  </si>
  <si>
    <t>D1</t>
  </si>
  <si>
    <t>D_DO-41_SOD81_P12.7mm_Horizontal_kh</t>
  </si>
  <si>
    <t>F1</t>
  </si>
  <si>
    <t>Fuse_PTC_P5.08mm_D12.8mm_Horizontal_kh</t>
  </si>
  <si>
    <t>RXEF110</t>
  </si>
  <si>
    <t>J1</t>
  </si>
  <si>
    <t>J2</t>
  </si>
  <si>
    <t>Box_02x03_P2.54_Vertical_kh</t>
  </si>
  <si>
    <t>Box_02x10_P2.54mm_Vertical_kh</t>
  </si>
  <si>
    <t>Box_02x10_P2.54_RCC</t>
  </si>
  <si>
    <t>J5, J6</t>
  </si>
  <si>
    <t>PinSocket_1x06_P2.54mm_Vertical_kh</t>
  </si>
  <si>
    <t>Conn_01x06</t>
  </si>
  <si>
    <t>J7, J8</t>
  </si>
  <si>
    <t>J9</t>
  </si>
  <si>
    <t>Screw_Terminal_01x02_P5_8</t>
  </si>
  <si>
    <t>R1</t>
  </si>
  <si>
    <t>R_Axial_Power_L25.0mm_W6.4mm_P27.94mm_kh</t>
  </si>
  <si>
    <t>DCDC_StepDown_LM2596_PinsOnly</t>
  </si>
  <si>
    <t>DCDC_StepDown_LM2596</t>
  </si>
  <si>
    <t>J4, J10, J11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</si>
</sst>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quotePrefix="1"/>
  </cellXfs>
  <cellStyles count="42">
    <cellStyle name="20% - Akzent1" xfId="19" builtinId="30" customBuiltin="1"/>
    <cellStyle name="20% - Akzent2" xfId="23" builtinId="34" customBuiltin="1"/>
    <cellStyle name="20% - Akzent3" xfId="27" builtinId="38" customBuiltin="1"/>
    <cellStyle name="20% - Akzent4" xfId="31" builtinId="42" customBuiltin="1"/>
    <cellStyle name="20% - Akzent5" xfId="35" builtinId="46" customBuiltin="1"/>
    <cellStyle name="20% - Akzent6" xfId="39" builtinId="50" customBuiltin="1"/>
    <cellStyle name="40% - Akzent1" xfId="20" builtinId="31" customBuiltin="1"/>
    <cellStyle name="40% - Akzent2" xfId="24" builtinId="35" customBuiltin="1"/>
    <cellStyle name="40% - Akzent3" xfId="28" builtinId="39" customBuiltin="1"/>
    <cellStyle name="40% - Akzent4" xfId="32" builtinId="43" customBuiltin="1"/>
    <cellStyle name="40% - Akzent5" xfId="36" builtinId="47" customBuiltin="1"/>
    <cellStyle name="40% - Akzent6" xfId="40" builtinId="51" customBuiltin="1"/>
    <cellStyle name="60% - Akzent1" xfId="21" builtinId="32" customBuiltin="1"/>
    <cellStyle name="60% - Akzent2" xfId="25" builtinId="36" customBuiltin="1"/>
    <cellStyle name="60% - Akzent3" xfId="29" builtinId="40" customBuiltin="1"/>
    <cellStyle name="60% - Akzent4" xfId="33" builtinId="44" customBuiltin="1"/>
    <cellStyle name="60% - Akzent5" xfId="37" builtinId="48" customBuiltin="1"/>
    <cellStyle name="60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>
      <selection activeCell="A3" sqref="A3:E13"/>
    </sheetView>
  </sheetViews>
  <sheetFormatPr baseColWidth="10" defaultRowHeight="15"/>
  <cols>
    <col min="1" max="1" width="5" customWidth="1"/>
    <col min="2" max="2" width="9" customWidth="1"/>
    <col min="3" max="3" width="25.140625" customWidth="1"/>
    <col min="4" max="4" width="6.28515625" customWidth="1"/>
    <col min="5" max="5" width="25.42578125" customWidth="1"/>
    <col min="6" max="6" width="2.5703125" style="1" customWidth="1"/>
    <col min="7" max="7" width="7.140625" customWidth="1"/>
    <col min="10" max="10" width="14.85546875" customWidth="1"/>
    <col min="11" max="11" width="3.42578125" style="1" customWidth="1"/>
    <col min="12" max="12" width="42.140625" customWidth="1"/>
  </cols>
  <sheetData>
    <row r="1" spans="1:12">
      <c r="A1" t="s">
        <v>0</v>
      </c>
      <c r="B1" t="s">
        <v>1</v>
      </c>
      <c r="C1" t="s">
        <v>2</v>
      </c>
      <c r="D1" t="s">
        <v>9</v>
      </c>
      <c r="E1" t="s">
        <v>3</v>
      </c>
      <c r="G1" t="s">
        <v>4</v>
      </c>
      <c r="H1" t="s">
        <v>5</v>
      </c>
      <c r="I1" t="s">
        <v>6</v>
      </c>
      <c r="J1" t="s">
        <v>8</v>
      </c>
      <c r="L1" t="str">
        <f>"| "&amp;G1&amp;" | "&amp;H1&amp;" | "&amp;I1&amp;" | "&amp;J1&amp;" |   "</f>
        <v xml:space="preserve">| Anzahl | Referenz | Wert | Geh&amp;auml;use |   </v>
      </c>
    </row>
    <row r="2" spans="1:12">
      <c r="G2" s="2" t="s">
        <v>7</v>
      </c>
      <c r="H2" s="2" t="s">
        <v>7</v>
      </c>
      <c r="I2" s="2" t="s">
        <v>7</v>
      </c>
      <c r="J2" s="2" t="s">
        <v>7</v>
      </c>
      <c r="L2" t="str">
        <f>"|"&amp;G2&amp;"|"&amp;H2&amp;"|"&amp;I2&amp;"|"&amp;J2&amp;"|   "</f>
        <v xml:space="preserve">|-----|-----|-----|-----|   </v>
      </c>
    </row>
    <row r="3" spans="1:12">
      <c r="A3">
        <v>1</v>
      </c>
      <c r="B3" t="s">
        <v>15</v>
      </c>
      <c r="C3" t="s">
        <v>16</v>
      </c>
      <c r="D3">
        <v>1</v>
      </c>
      <c r="E3" t="s">
        <v>17</v>
      </c>
      <c r="F3"/>
      <c r="G3">
        <f>D3</f>
        <v>1</v>
      </c>
      <c r="H3" t="str">
        <f>B3</f>
        <v>C1</v>
      </c>
      <c r="I3" t="str">
        <f>E3</f>
        <v>1000uF/35V</v>
      </c>
      <c r="J3" t="str">
        <f>C3</f>
        <v>CP_Radial_L16.8mm_D10.0mm_P5.08mm_Horizontal_small_2</v>
      </c>
      <c r="L3" t="str">
        <f>"| "&amp;G3&amp;" | "&amp;H3&amp;" | "&amp;I3&amp;" | "&amp;J3&amp;" |   "</f>
        <v xml:space="preserve">| 1 | C1 | 1000uF/35V | CP_Radial_L16.8mm_D10.0mm_P5.08mm_Horizontal_small_2 |   </v>
      </c>
    </row>
    <row r="4" spans="1:12">
      <c r="A4">
        <v>2</v>
      </c>
      <c r="B4" t="s">
        <v>18</v>
      </c>
      <c r="C4" t="s">
        <v>19</v>
      </c>
      <c r="D4">
        <v>1</v>
      </c>
      <c r="E4" t="s">
        <v>10</v>
      </c>
      <c r="F4"/>
      <c r="G4">
        <f t="shared" ref="G4:G11" si="0">D4</f>
        <v>1</v>
      </c>
      <c r="H4" t="str">
        <f t="shared" ref="H4:H11" si="1">B4</f>
        <v>D1</v>
      </c>
      <c r="I4" t="str">
        <f t="shared" ref="I4:I11" si="2">E4</f>
        <v>1N4007</v>
      </c>
      <c r="J4" t="str">
        <f t="shared" ref="J4:J11" si="3">C4</f>
        <v>D_DO-41_SOD81_P12.7mm_Horizontal_kh</v>
      </c>
      <c r="L4" t="str">
        <f t="shared" ref="L4:L11" si="4">"| "&amp;G4&amp;" | "&amp;H4&amp;" | "&amp;I4&amp;" | "&amp;J4&amp;" |   "</f>
        <v xml:space="preserve">| 1 | D1 | 1N4007 | D_DO-41_SOD81_P12.7mm_Horizontal_kh |   </v>
      </c>
    </row>
    <row r="5" spans="1:12">
      <c r="A5">
        <v>3</v>
      </c>
      <c r="B5" t="s">
        <v>20</v>
      </c>
      <c r="C5" t="s">
        <v>21</v>
      </c>
      <c r="D5">
        <v>1</v>
      </c>
      <c r="E5" t="s">
        <v>22</v>
      </c>
      <c r="F5"/>
      <c r="G5">
        <f t="shared" si="0"/>
        <v>1</v>
      </c>
      <c r="H5" t="str">
        <f t="shared" si="1"/>
        <v>F1</v>
      </c>
      <c r="I5" t="str">
        <f t="shared" si="2"/>
        <v>RXEF110</v>
      </c>
      <c r="J5" t="str">
        <f t="shared" si="3"/>
        <v>Fuse_PTC_P5.08mm_D12.8mm_Horizontal_kh</v>
      </c>
      <c r="L5" t="str">
        <f t="shared" si="4"/>
        <v xml:space="preserve">| 1 | F1 | RXEF110 | Fuse_PTC_P5.08mm_D12.8mm_Horizontal_kh |   </v>
      </c>
    </row>
    <row r="6" spans="1:12">
      <c r="A6">
        <v>4</v>
      </c>
      <c r="B6" t="s">
        <v>23</v>
      </c>
      <c r="C6" t="s">
        <v>12</v>
      </c>
      <c r="D6">
        <v>1</v>
      </c>
      <c r="E6" t="s">
        <v>13</v>
      </c>
      <c r="F6"/>
      <c r="G6">
        <f t="shared" si="0"/>
        <v>1</v>
      </c>
      <c r="H6" t="str">
        <f t="shared" si="1"/>
        <v>J1</v>
      </c>
      <c r="I6" t="str">
        <f t="shared" si="2"/>
        <v>Box_02x03_P2.54_Vertical</v>
      </c>
      <c r="J6" t="str">
        <f t="shared" si="3"/>
        <v>Box_02x03_P2.54mm_Vertical_kh</v>
      </c>
      <c r="L6" t="str">
        <f t="shared" si="4"/>
        <v xml:space="preserve">| 1 | J1 | Box_02x03_P2.54_Vertical | Box_02x03_P2.54mm_Vertical_kh |   </v>
      </c>
    </row>
    <row r="7" spans="1:12">
      <c r="A7">
        <v>5</v>
      </c>
      <c r="B7" t="s">
        <v>24</v>
      </c>
      <c r="C7" t="s">
        <v>12</v>
      </c>
      <c r="D7">
        <v>1</v>
      </c>
      <c r="E7" t="s">
        <v>25</v>
      </c>
      <c r="F7"/>
      <c r="G7">
        <f t="shared" si="0"/>
        <v>1</v>
      </c>
      <c r="H7" t="str">
        <f t="shared" si="1"/>
        <v>J2</v>
      </c>
      <c r="I7" t="str">
        <f t="shared" si="2"/>
        <v>Box_02x03_P2.54_Vertical_kh</v>
      </c>
      <c r="J7" t="str">
        <f t="shared" si="3"/>
        <v>Box_02x03_P2.54mm_Vertical_kh</v>
      </c>
      <c r="L7" t="str">
        <f t="shared" si="4"/>
        <v xml:space="preserve">| 1 | J2 | Box_02x03_P2.54_Vertical_kh | Box_02x03_P2.54mm_Vertical_kh |   </v>
      </c>
    </row>
    <row r="8" spans="1:12">
      <c r="A8">
        <v>6</v>
      </c>
      <c r="B8" t="s">
        <v>38</v>
      </c>
      <c r="C8" t="s">
        <v>26</v>
      </c>
      <c r="D8">
        <v>3</v>
      </c>
      <c r="E8" t="s">
        <v>27</v>
      </c>
      <c r="F8"/>
      <c r="G8">
        <f t="shared" si="0"/>
        <v>3</v>
      </c>
      <c r="H8" t="str">
        <f t="shared" si="1"/>
        <v>J4, J10, J11</v>
      </c>
      <c r="I8" t="str">
        <f t="shared" si="2"/>
        <v>Box_02x10_P2.54_RCC</v>
      </c>
      <c r="J8" t="str">
        <f t="shared" si="3"/>
        <v>Box_02x10_P2.54mm_Vertical_kh</v>
      </c>
      <c r="L8" t="str">
        <f t="shared" si="4"/>
        <v xml:space="preserve">| 3 | J4, J10, J11 | Box_02x10_P2.54_RCC | Box_02x10_P2.54mm_Vertical_kh |   </v>
      </c>
    </row>
    <row r="9" spans="1:12">
      <c r="A9">
        <v>7</v>
      </c>
      <c r="B9" t="s">
        <v>28</v>
      </c>
      <c r="C9" t="s">
        <v>29</v>
      </c>
      <c r="D9">
        <v>2</v>
      </c>
      <c r="E9" t="s">
        <v>30</v>
      </c>
      <c r="F9"/>
      <c r="G9">
        <f t="shared" si="0"/>
        <v>2</v>
      </c>
      <c r="H9" t="str">
        <f t="shared" si="1"/>
        <v>J5, J6</v>
      </c>
      <c r="I9" t="str">
        <f t="shared" si="2"/>
        <v>Conn_01x06</v>
      </c>
      <c r="J9" t="str">
        <f t="shared" si="3"/>
        <v>PinSocket_1x06_P2.54mm_Vertical_kh</v>
      </c>
      <c r="L9" t="str">
        <f t="shared" si="4"/>
        <v xml:space="preserve">| 2 | J5, J6 | Conn_01x06 | PinSocket_1x06_P2.54mm_Vertical_kh |   </v>
      </c>
    </row>
    <row r="10" spans="1:12">
      <c r="A10">
        <v>8</v>
      </c>
      <c r="B10" t="s">
        <v>31</v>
      </c>
      <c r="C10" t="s">
        <v>11</v>
      </c>
      <c r="D10">
        <v>2</v>
      </c>
      <c r="E10" t="s">
        <v>11</v>
      </c>
      <c r="F10"/>
      <c r="G10">
        <f t="shared" si="0"/>
        <v>2</v>
      </c>
      <c r="H10" t="str">
        <f t="shared" si="1"/>
        <v>J7, J8</v>
      </c>
      <c r="I10" t="str">
        <f t="shared" si="2"/>
        <v>Screw_Terminal_01x02_P5</v>
      </c>
      <c r="J10" t="str">
        <f t="shared" si="3"/>
        <v>Screw_Terminal_01x02_P5</v>
      </c>
      <c r="L10" t="str">
        <f t="shared" si="4"/>
        <v xml:space="preserve">| 2 | J7, J8 | Screw_Terminal_01x02_P5 | Screw_Terminal_01x02_P5 |   </v>
      </c>
    </row>
    <row r="11" spans="1:12">
      <c r="A11">
        <v>9</v>
      </c>
      <c r="B11" t="s">
        <v>32</v>
      </c>
      <c r="C11" t="s">
        <v>33</v>
      </c>
      <c r="D11">
        <v>1</v>
      </c>
      <c r="E11" t="s">
        <v>11</v>
      </c>
      <c r="F11"/>
      <c r="G11">
        <f t="shared" si="0"/>
        <v>1</v>
      </c>
      <c r="H11" t="str">
        <f t="shared" si="1"/>
        <v>J9</v>
      </c>
      <c r="I11" t="str">
        <f t="shared" si="2"/>
        <v>Screw_Terminal_01x02_P5</v>
      </c>
      <c r="J11" t="str">
        <f t="shared" si="3"/>
        <v>Screw_Terminal_01x02_P5_8</v>
      </c>
      <c r="L11" t="str">
        <f t="shared" si="4"/>
        <v xml:space="preserve">| 1 | J9 | Screw_Terminal_01x02_P5 | Screw_Terminal_01x02_P5_8 |   </v>
      </c>
    </row>
    <row r="12" spans="1:12">
      <c r="A12">
        <v>10</v>
      </c>
      <c r="B12" t="s">
        <v>34</v>
      </c>
      <c r="C12" t="s">
        <v>35</v>
      </c>
      <c r="D12">
        <v>1</v>
      </c>
      <c r="E12">
        <v>4.7</v>
      </c>
      <c r="F12"/>
      <c r="G12">
        <f t="shared" ref="G12:G13" si="5">D12</f>
        <v>1</v>
      </c>
      <c r="H12" t="str">
        <f t="shared" ref="H12:H13" si="6">B12</f>
        <v>R1</v>
      </c>
      <c r="I12">
        <f t="shared" ref="I12:I13" si="7">E12</f>
        <v>4.7</v>
      </c>
      <c r="J12" t="str">
        <f t="shared" ref="J12:J13" si="8">C12</f>
        <v>R_Axial_Power_L25.0mm_W6.4mm_P27.94mm_kh</v>
      </c>
      <c r="L12" t="str">
        <f t="shared" ref="L12:L13" si="9">"| "&amp;G12&amp;" | "&amp;H12&amp;" | "&amp;I12&amp;" | "&amp;J12&amp;" |   "</f>
        <v xml:space="preserve">| 1 | R1 | 4,7 | R_Axial_Power_L25.0mm_W6.4mm_P27.94mm_kh |   </v>
      </c>
    </row>
    <row r="13" spans="1:12">
      <c r="A13">
        <v>11</v>
      </c>
      <c r="B13" t="s">
        <v>14</v>
      </c>
      <c r="C13" t="s">
        <v>36</v>
      </c>
      <c r="D13">
        <v>1</v>
      </c>
      <c r="E13" t="s">
        <v>37</v>
      </c>
      <c r="F13"/>
      <c r="G13">
        <f t="shared" si="5"/>
        <v>1</v>
      </c>
      <c r="H13" t="str">
        <f t="shared" si="6"/>
        <v>U1</v>
      </c>
      <c r="I13" t="str">
        <f t="shared" si="7"/>
        <v>DCDC_StepDown_LM2596</v>
      </c>
      <c r="J13" t="str">
        <f t="shared" si="8"/>
        <v>DCDC_StepDown_LM2596_PinsOnly</v>
      </c>
      <c r="L13" t="str">
        <f t="shared" si="9"/>
        <v xml:space="preserve">| 1 | U1 | DCDC_StepDown_LM2596 | DCDC_StepDown_LM2596_PinsOnly |   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dcc_track_UI_TVn_V1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Hartinger</dc:creator>
  <cp:lastModifiedBy>Karl Hartinger</cp:lastModifiedBy>
  <dcterms:created xsi:type="dcterms:W3CDTF">2026-07-11T16:28:25Z</dcterms:created>
  <dcterms:modified xsi:type="dcterms:W3CDTF">2026-10-19T09:15:13Z</dcterms:modified>
</cp:coreProperties>
</file>