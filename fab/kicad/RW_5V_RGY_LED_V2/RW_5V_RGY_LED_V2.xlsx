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0" windowWidth="26670" windowHeight="11595"/>
  </bookViews>
  <sheets>
    <sheet name="RW_5V_UI_STRG_V1" sheetId="1" r:id="rId1"/>
  </sheets>
  <calcPr calcId="125725"/>
</workbook>
</file>

<file path=xl/calcChain.xml><?xml version="1.0" encoding="utf-8"?>
<calcChain xmlns="http://schemas.openxmlformats.org/spreadsheetml/2006/main">
  <c r="G4" i="1"/>
  <c r="L4" s="1"/>
  <c r="H4"/>
  <c r="I4"/>
  <c r="J4"/>
  <c r="G5"/>
  <c r="H5"/>
  <c r="I5"/>
  <c r="J5"/>
  <c r="G6"/>
  <c r="H6"/>
  <c r="I6"/>
  <c r="J6"/>
  <c r="G7"/>
  <c r="H7"/>
  <c r="I7"/>
  <c r="J7"/>
  <c r="G8"/>
  <c r="H8"/>
  <c r="I8"/>
  <c r="J8"/>
  <c r="G9"/>
  <c r="H9"/>
  <c r="I9"/>
  <c r="J9"/>
  <c r="L9"/>
  <c r="G10"/>
  <c r="L10" s="1"/>
  <c r="H10"/>
  <c r="I10"/>
  <c r="J10"/>
  <c r="G11"/>
  <c r="H11"/>
  <c r="I11"/>
  <c r="J11"/>
  <c r="G12"/>
  <c r="H12"/>
  <c r="I12"/>
  <c r="J12"/>
  <c r="G13"/>
  <c r="H13"/>
  <c r="I13"/>
  <c r="J13"/>
  <c r="G14"/>
  <c r="H14"/>
  <c r="I14"/>
  <c r="J14"/>
  <c r="L14" s="1"/>
  <c r="G15"/>
  <c r="H15"/>
  <c r="I15"/>
  <c r="J15"/>
  <c r="G16"/>
  <c r="H16"/>
  <c r="I16"/>
  <c r="J16"/>
  <c r="G17"/>
  <c r="H17"/>
  <c r="I17"/>
  <c r="L17" s="1"/>
  <c r="J17"/>
  <c r="G18"/>
  <c r="H18"/>
  <c r="I18"/>
  <c r="J18"/>
  <c r="G19"/>
  <c r="H19"/>
  <c r="I19"/>
  <c r="L19" s="1"/>
  <c r="J19"/>
  <c r="G3"/>
  <c r="H3"/>
  <c r="I3"/>
  <c r="J3"/>
  <c r="L2"/>
  <c r="L1"/>
  <c r="L8" l="1"/>
  <c r="L12"/>
  <c r="L18"/>
  <c r="L16"/>
  <c r="L6"/>
  <c r="L7"/>
  <c r="L5"/>
  <c r="L13"/>
  <c r="L15"/>
  <c r="L11"/>
  <c r="L3"/>
</calcChain>
</file>

<file path=xl/sharedStrings.xml><?xml version="1.0" encoding="utf-8"?>
<sst xmlns="http://schemas.openxmlformats.org/spreadsheetml/2006/main" count="81" uniqueCount="50">
  <si>
    <t>ID</t>
  </si>
  <si>
    <t>Bezeichner</t>
  </si>
  <si>
    <t>Footprint</t>
  </si>
  <si>
    <t>StÃ¼ckzahl</t>
  </si>
  <si>
    <t>Bezeichnung</t>
  </si>
  <si>
    <t>C1</t>
  </si>
  <si>
    <t>D_DO-35_SOD27_P2.54mm_Vertical_AnodeUp</t>
  </si>
  <si>
    <t>BAT48</t>
  </si>
  <si>
    <t>J1, J2</t>
  </si>
  <si>
    <t>Conn_01x08_Pin</t>
  </si>
  <si>
    <t>R1</t>
  </si>
  <si>
    <t>R_Axial_DIN0204_L3.6mm_D1.6mm_P2.54mm_Vertical</t>
  </si>
  <si>
    <t>100k</t>
  </si>
  <si>
    <t>Anzahl</t>
  </si>
  <si>
    <t>Referenz</t>
  </si>
  <si>
    <t>Wert</t>
  </si>
  <si>
    <t>-----</t>
  </si>
  <si>
    <t>Geh&amp;auml;use</t>
  </si>
  <si>
    <t>C_L4mm_D3mm_P2.54mm_kh</t>
  </si>
  <si>
    <t>1u</t>
  </si>
  <si>
    <t>D1, D2, D3</t>
  </si>
  <si>
    <t>LED_D5.0mm-3</t>
  </si>
  <si>
    <t>LED_Dual_AKA</t>
  </si>
  <si>
    <t>D4</t>
  </si>
  <si>
    <t>PinSocket_1x08_P2.54mm_Vertical_11mm_kh</t>
  </si>
  <si>
    <t>Q1, Q4, Q5, Q6</t>
  </si>
  <si>
    <t>TO-92_Inline_Wide_custom</t>
  </si>
  <si>
    <t>BC337</t>
  </si>
  <si>
    <t>Q2, Q3</t>
  </si>
  <si>
    <t>BC327</t>
  </si>
  <si>
    <t>R_Axial_DIN0204_L3.6mm_D1.6mm_P7.62mm_Horizontal</t>
  </si>
  <si>
    <t>1k</t>
  </si>
  <si>
    <t>10k</t>
  </si>
  <si>
    <t>R4, R14, R15</t>
  </si>
  <si>
    <t>R_Axial_DIN0204_L3.6mm_D1.6mm_P2.54mm_Vertical_kh</t>
  </si>
  <si>
    <t>4k7</t>
  </si>
  <si>
    <t>R7</t>
  </si>
  <si>
    <t>R_Axial_DIN0204_L3.6mm_D1.6mm_P3.81mm_Vertical_kh</t>
  </si>
  <si>
    <t>R11</t>
  </si>
  <si>
    <t>R13</t>
  </si>
  <si>
    <t>SW_Push_DPDT_8x8</t>
  </si>
  <si>
    <t xml:space="preserve"> </t>
  </si>
  <si>
    <t>SW1, SW3</t>
  </si>
  <si>
    <t>680..1k</t>
  </si>
  <si>
    <t>R2, R5</t>
  </si>
  <si>
    <t>R3</t>
  </si>
  <si>
    <t>3k9..10k</t>
  </si>
  <si>
    <t>R6, R8</t>
  </si>
  <si>
    <t>R9</t>
  </si>
  <si>
    <t>R10, R12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</si>
</sst>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quotePrefix="1" applyFill="1"/>
    <xf numFmtId="0" fontId="0" fillId="34" borderId="0" xfId="0" applyFill="1"/>
  </cellXfs>
  <cellStyles count="42">
    <cellStyle name="20% - Akzent1" xfId="19" builtinId="30" customBuiltin="1"/>
    <cellStyle name="20% - Akzent2" xfId="23" builtinId="34" customBuiltin="1"/>
    <cellStyle name="20% - Akzent3" xfId="27" builtinId="38" customBuiltin="1"/>
    <cellStyle name="20% - Akzent4" xfId="31" builtinId="42" customBuiltin="1"/>
    <cellStyle name="20% - Akzent5" xfId="35" builtinId="46" customBuiltin="1"/>
    <cellStyle name="20% - Akzent6" xfId="39" builtinId="50" customBuiltin="1"/>
    <cellStyle name="40% - Akzent1" xfId="20" builtinId="31" customBuiltin="1"/>
    <cellStyle name="40% - Akzent2" xfId="24" builtinId="35" customBuiltin="1"/>
    <cellStyle name="40% - Akzent3" xfId="28" builtinId="39" customBuiltin="1"/>
    <cellStyle name="40% - Akzent4" xfId="32" builtinId="43" customBuiltin="1"/>
    <cellStyle name="40% - Akzent5" xfId="36" builtinId="47" customBuiltin="1"/>
    <cellStyle name="40% - Akzent6" xfId="40" builtinId="51" customBuiltin="1"/>
    <cellStyle name="60% - Akzent1" xfId="21" builtinId="32" customBuiltin="1"/>
    <cellStyle name="60% - Akzent2" xfId="25" builtinId="36" customBuiltin="1"/>
    <cellStyle name="60% - Akzent3" xfId="29" builtinId="40" customBuiltin="1"/>
    <cellStyle name="60% - Akzent4" xfId="33" builtinId="44" customBuiltin="1"/>
    <cellStyle name="60% - Akzent5" xfId="37" builtinId="48" customBuiltin="1"/>
    <cellStyle name="60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9" defaultPivotStyle="PivotStyleLight16"/>
  <colors>
    <mruColors>
      <color rgb="FFFFFF99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tabSelected="1" workbookViewId="0">
      <selection activeCell="G20" sqref="G20:L28"/>
    </sheetView>
  </sheetViews>
  <sheetFormatPr baseColWidth="10" defaultRowHeight="15"/>
  <cols>
    <col min="1" max="1" width="5" customWidth="1"/>
    <col min="2" max="2" width="15.7109375" customWidth="1"/>
    <col min="3" max="3" width="53.7109375" customWidth="1"/>
    <col min="4" max="4" width="6.28515625" customWidth="1"/>
    <col min="5" max="5" width="25.42578125" customWidth="1"/>
    <col min="6" max="6" width="2.5703125" style="1" customWidth="1"/>
    <col min="7" max="7" width="7.140625" customWidth="1"/>
    <col min="10" max="10" width="33.140625" customWidth="1"/>
    <col min="11" max="11" width="3.42578125" style="1" customWidth="1"/>
    <col min="12" max="12" width="42.14062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G1" s="3" t="s">
        <v>13</v>
      </c>
      <c r="H1" s="3" t="s">
        <v>14</v>
      </c>
      <c r="I1" s="3" t="s">
        <v>15</v>
      </c>
      <c r="J1" s="3" t="s">
        <v>17</v>
      </c>
      <c r="K1" s="1" t="s">
        <v>41</v>
      </c>
      <c r="L1" t="str">
        <f>"| "&amp;G1&amp;" | "&amp;H1&amp;" | "&amp;I1&amp;" | "&amp;J1&amp;" |   "</f>
        <v xml:space="preserve">| Anzahl | Referenz | Wert | Geh&amp;auml;use |   </v>
      </c>
    </row>
    <row r="2" spans="1:12">
      <c r="A2" s="3"/>
      <c r="B2" s="3"/>
      <c r="C2" s="3"/>
      <c r="D2" s="3"/>
      <c r="E2" s="3"/>
      <c r="G2" s="2" t="s">
        <v>16</v>
      </c>
      <c r="H2" s="2" t="s">
        <v>16</v>
      </c>
      <c r="I2" s="2" t="s">
        <v>16</v>
      </c>
      <c r="J2" s="2" t="s">
        <v>16</v>
      </c>
      <c r="K2" s="1" t="s">
        <v>41</v>
      </c>
      <c r="L2" t="str">
        <f>"|"&amp;G2&amp;"|"&amp;H2&amp;"|"&amp;I2&amp;"|"&amp;J2&amp;"|   "</f>
        <v xml:space="preserve">|-----|-----|-----|-----|   </v>
      </c>
    </row>
    <row r="3" spans="1:12">
      <c r="A3">
        <v>1</v>
      </c>
      <c r="B3" t="s">
        <v>5</v>
      </c>
      <c r="C3" t="s">
        <v>18</v>
      </c>
      <c r="D3">
        <v>1</v>
      </c>
      <c r="E3" t="s">
        <v>19</v>
      </c>
      <c r="G3">
        <f>D3</f>
        <v>1</v>
      </c>
      <c r="H3" t="str">
        <f>B3</f>
        <v>C1</v>
      </c>
      <c r="I3" t="str">
        <f>E3</f>
        <v>1u</v>
      </c>
      <c r="J3" t="str">
        <f>C3</f>
        <v>C_L4mm_D3mm_P2.54mm_kh</v>
      </c>
      <c r="K3" s="1" t="s">
        <v>41</v>
      </c>
      <c r="L3" t="str">
        <f>"| "&amp;G3&amp;" | "&amp;H3&amp;" | "&amp;I3&amp;" | "&amp;J3&amp;" |   "</f>
        <v xml:space="preserve">| 1 | C1 | 1u | C_L4mm_D3mm_P2.54mm_kh |   </v>
      </c>
    </row>
    <row r="4" spans="1:12">
      <c r="A4">
        <v>2</v>
      </c>
      <c r="B4" t="s">
        <v>20</v>
      </c>
      <c r="C4" t="s">
        <v>21</v>
      </c>
      <c r="D4">
        <v>3</v>
      </c>
      <c r="E4" t="s">
        <v>22</v>
      </c>
      <c r="G4">
        <f t="shared" ref="G4:G28" si="0">D4</f>
        <v>3</v>
      </c>
      <c r="H4" t="str">
        <f t="shared" ref="H4:H28" si="1">B4</f>
        <v>D1, D2, D3</v>
      </c>
      <c r="I4" t="str">
        <f t="shared" ref="I4:I28" si="2">E4</f>
        <v>LED_Dual_AKA</v>
      </c>
      <c r="J4" t="str">
        <f t="shared" ref="J4:J28" si="3">C4</f>
        <v>LED_D5.0mm-3</v>
      </c>
      <c r="K4" s="1" t="s">
        <v>41</v>
      </c>
      <c r="L4" t="str">
        <f t="shared" ref="L4:L28" si="4">"| "&amp;G4&amp;" | "&amp;H4&amp;" | "&amp;I4&amp;" | "&amp;J4&amp;" |   "</f>
        <v xml:space="preserve">| 3 | D1, D2, D3 | LED_Dual_AKA | LED_D5.0mm-3 |   </v>
      </c>
    </row>
    <row r="5" spans="1:12">
      <c r="A5">
        <v>3</v>
      </c>
      <c r="B5" t="s">
        <v>23</v>
      </c>
      <c r="C5" t="s">
        <v>6</v>
      </c>
      <c r="D5">
        <v>1</v>
      </c>
      <c r="E5" t="s">
        <v>7</v>
      </c>
      <c r="G5">
        <f t="shared" si="0"/>
        <v>1</v>
      </c>
      <c r="H5" t="str">
        <f t="shared" si="1"/>
        <v>D4</v>
      </c>
      <c r="I5" t="str">
        <f t="shared" si="2"/>
        <v>BAT48</v>
      </c>
      <c r="J5" t="str">
        <f t="shared" si="3"/>
        <v>D_DO-35_SOD27_P2.54mm_Vertical_AnodeUp</v>
      </c>
      <c r="K5" s="1" t="s">
        <v>41</v>
      </c>
      <c r="L5" t="str">
        <f t="shared" si="4"/>
        <v xml:space="preserve">| 1 | D4 | BAT48 | D_DO-35_SOD27_P2.54mm_Vertical_AnodeUp |   </v>
      </c>
    </row>
    <row r="6" spans="1:12">
      <c r="A6">
        <v>4</v>
      </c>
      <c r="B6" t="s">
        <v>8</v>
      </c>
      <c r="C6" t="s">
        <v>24</v>
      </c>
      <c r="D6">
        <v>2</v>
      </c>
      <c r="E6" t="s">
        <v>9</v>
      </c>
      <c r="G6">
        <f t="shared" si="0"/>
        <v>2</v>
      </c>
      <c r="H6" t="str">
        <f t="shared" si="1"/>
        <v>J1, J2</v>
      </c>
      <c r="I6" t="str">
        <f t="shared" si="2"/>
        <v>Conn_01x08_Pin</v>
      </c>
      <c r="J6" t="str">
        <f t="shared" si="3"/>
        <v>PinSocket_1x08_P2.54mm_Vertical_11mm_kh</v>
      </c>
      <c r="K6" s="1" t="s">
        <v>41</v>
      </c>
      <c r="L6" t="str">
        <f t="shared" si="4"/>
        <v xml:space="preserve">| 2 | J1, J2 | Conn_01x08_Pin | PinSocket_1x08_P2.54mm_Vertical_11mm_kh |   </v>
      </c>
    </row>
    <row r="7" spans="1:12">
      <c r="A7">
        <v>5</v>
      </c>
      <c r="B7" t="s">
        <v>25</v>
      </c>
      <c r="C7" t="s">
        <v>26</v>
      </c>
      <c r="D7">
        <v>4</v>
      </c>
      <c r="E7" t="s">
        <v>27</v>
      </c>
      <c r="G7">
        <f t="shared" si="0"/>
        <v>4</v>
      </c>
      <c r="H7" t="str">
        <f t="shared" si="1"/>
        <v>Q1, Q4, Q5, Q6</v>
      </c>
      <c r="I7" t="str">
        <f t="shared" si="2"/>
        <v>BC337</v>
      </c>
      <c r="J7" t="str">
        <f t="shared" si="3"/>
        <v>TO-92_Inline_Wide_custom</v>
      </c>
      <c r="K7" s="1" t="s">
        <v>41</v>
      </c>
      <c r="L7" t="str">
        <f t="shared" si="4"/>
        <v xml:space="preserve">| 4 | Q1, Q4, Q5, Q6 | BC337 | TO-92_Inline_Wide_custom |   </v>
      </c>
    </row>
    <row r="8" spans="1:12">
      <c r="A8">
        <v>6</v>
      </c>
      <c r="B8" t="s">
        <v>28</v>
      </c>
      <c r="C8" t="s">
        <v>26</v>
      </c>
      <c r="D8">
        <v>2</v>
      </c>
      <c r="E8" t="s">
        <v>29</v>
      </c>
      <c r="G8">
        <f t="shared" si="0"/>
        <v>2</v>
      </c>
      <c r="H8" t="str">
        <f t="shared" si="1"/>
        <v>Q2, Q3</v>
      </c>
      <c r="I8" t="str">
        <f t="shared" si="2"/>
        <v>BC327</v>
      </c>
      <c r="J8" t="str">
        <f t="shared" si="3"/>
        <v>TO-92_Inline_Wide_custom</v>
      </c>
      <c r="K8" s="1" t="s">
        <v>41</v>
      </c>
      <c r="L8" t="str">
        <f t="shared" si="4"/>
        <v xml:space="preserve">| 2 | Q2, Q3 | BC327 | TO-92_Inline_Wide_custom |   </v>
      </c>
    </row>
    <row r="9" spans="1:12">
      <c r="A9">
        <v>7</v>
      </c>
      <c r="B9" t="s">
        <v>10</v>
      </c>
      <c r="C9" t="s">
        <v>30</v>
      </c>
      <c r="D9">
        <v>1</v>
      </c>
      <c r="E9" t="s">
        <v>43</v>
      </c>
      <c r="G9">
        <f t="shared" si="0"/>
        <v>1</v>
      </c>
      <c r="H9" t="str">
        <f t="shared" si="1"/>
        <v>R1</v>
      </c>
      <c r="I9" t="str">
        <f t="shared" si="2"/>
        <v>680..1k</v>
      </c>
      <c r="J9" t="str">
        <f t="shared" si="3"/>
        <v>R_Axial_DIN0204_L3.6mm_D1.6mm_P7.62mm_Horizontal</v>
      </c>
      <c r="K9" s="1" t="s">
        <v>41</v>
      </c>
      <c r="L9" t="str">
        <f t="shared" si="4"/>
        <v xml:space="preserve">| 1 | R1 | 680..1k | R_Axial_DIN0204_L3.6mm_D1.6mm_P7.62mm_Horizontal |   </v>
      </c>
    </row>
    <row r="10" spans="1:12">
      <c r="A10">
        <v>8</v>
      </c>
      <c r="B10" t="s">
        <v>38</v>
      </c>
      <c r="C10" t="s">
        <v>30</v>
      </c>
      <c r="D10">
        <v>1</v>
      </c>
      <c r="E10" t="s">
        <v>12</v>
      </c>
      <c r="G10">
        <f t="shared" si="0"/>
        <v>1</v>
      </c>
      <c r="H10" t="str">
        <f t="shared" si="1"/>
        <v>R11</v>
      </c>
      <c r="I10" t="str">
        <f t="shared" si="2"/>
        <v>100k</v>
      </c>
      <c r="J10" t="str">
        <f t="shared" si="3"/>
        <v>R_Axial_DIN0204_L3.6mm_D1.6mm_P7.62mm_Horizontal</v>
      </c>
      <c r="K10" s="1" t="s">
        <v>41</v>
      </c>
      <c r="L10" t="str">
        <f t="shared" si="4"/>
        <v xml:space="preserve">| 1 | R11 | 100k | R_Axial_DIN0204_L3.6mm_D1.6mm_P7.62mm_Horizontal |   </v>
      </c>
    </row>
    <row r="11" spans="1:12">
      <c r="A11">
        <v>9</v>
      </c>
      <c r="B11" t="s">
        <v>39</v>
      </c>
      <c r="C11" t="s">
        <v>30</v>
      </c>
      <c r="D11">
        <v>1</v>
      </c>
      <c r="E11">
        <v>47</v>
      </c>
      <c r="G11">
        <f t="shared" si="0"/>
        <v>1</v>
      </c>
      <c r="H11" t="str">
        <f t="shared" si="1"/>
        <v>R13</v>
      </c>
      <c r="I11">
        <f t="shared" si="2"/>
        <v>47</v>
      </c>
      <c r="J11" t="str">
        <f t="shared" si="3"/>
        <v>R_Axial_DIN0204_L3.6mm_D1.6mm_P7.62mm_Horizontal</v>
      </c>
      <c r="K11" s="1" t="s">
        <v>41</v>
      </c>
      <c r="L11" t="str">
        <f t="shared" si="4"/>
        <v xml:space="preserve">| 1 | R13 | 47 | R_Axial_DIN0204_L3.6mm_D1.6mm_P7.62mm_Horizontal |   </v>
      </c>
    </row>
    <row r="12" spans="1:12">
      <c r="A12">
        <v>10</v>
      </c>
      <c r="B12" t="s">
        <v>45</v>
      </c>
      <c r="C12" t="s">
        <v>34</v>
      </c>
      <c r="D12">
        <v>1</v>
      </c>
      <c r="E12" t="s">
        <v>46</v>
      </c>
      <c r="G12">
        <f t="shared" si="0"/>
        <v>1</v>
      </c>
      <c r="H12" t="str">
        <f t="shared" si="1"/>
        <v>R3</v>
      </c>
      <c r="I12" t="str">
        <f t="shared" si="2"/>
        <v>3k9..10k</v>
      </c>
      <c r="J12" t="str">
        <f t="shared" si="3"/>
        <v>R_Axial_DIN0204_L3.6mm_D1.6mm_P2.54mm_Vertical_kh</v>
      </c>
      <c r="K12" s="1" t="s">
        <v>41</v>
      </c>
      <c r="L12" t="str">
        <f t="shared" si="4"/>
        <v xml:space="preserve">| 1 | R3 | 3k9..10k | R_Axial_DIN0204_L3.6mm_D1.6mm_P2.54mm_Vertical_kh |   </v>
      </c>
    </row>
    <row r="13" spans="1:12">
      <c r="A13">
        <v>11</v>
      </c>
      <c r="B13" t="s">
        <v>48</v>
      </c>
      <c r="C13" t="s">
        <v>34</v>
      </c>
      <c r="D13">
        <v>1</v>
      </c>
      <c r="E13">
        <v>47</v>
      </c>
      <c r="G13">
        <f t="shared" si="0"/>
        <v>1</v>
      </c>
      <c r="H13" t="str">
        <f t="shared" si="1"/>
        <v>R9</v>
      </c>
      <c r="I13">
        <f t="shared" si="2"/>
        <v>47</v>
      </c>
      <c r="J13" t="str">
        <f t="shared" si="3"/>
        <v>R_Axial_DIN0204_L3.6mm_D1.6mm_P2.54mm_Vertical_kh</v>
      </c>
      <c r="K13" s="1" t="s">
        <v>41</v>
      </c>
      <c r="L13" t="str">
        <f t="shared" si="4"/>
        <v xml:space="preserve">| 1 | R9 | 47 | R_Axial_DIN0204_L3.6mm_D1.6mm_P2.54mm_Vertical_kh |   </v>
      </c>
    </row>
    <row r="14" spans="1:12">
      <c r="A14">
        <v>12</v>
      </c>
      <c r="B14" t="s">
        <v>49</v>
      </c>
      <c r="C14" t="s">
        <v>34</v>
      </c>
      <c r="D14">
        <v>2</v>
      </c>
      <c r="E14" t="s">
        <v>31</v>
      </c>
      <c r="G14">
        <f t="shared" si="0"/>
        <v>2</v>
      </c>
      <c r="H14" t="str">
        <f t="shared" si="1"/>
        <v>R10, R12</v>
      </c>
      <c r="I14" t="str">
        <f t="shared" si="2"/>
        <v>1k</v>
      </c>
      <c r="J14" t="str">
        <f t="shared" si="3"/>
        <v>R_Axial_DIN0204_L3.6mm_D1.6mm_P2.54mm_Vertical_kh</v>
      </c>
      <c r="K14" s="1" t="s">
        <v>41</v>
      </c>
      <c r="L14" t="str">
        <f t="shared" si="4"/>
        <v xml:space="preserve">| 2 | R10, R12 | 1k | R_Axial_DIN0204_L3.6mm_D1.6mm_P2.54mm_Vertical_kh |   </v>
      </c>
    </row>
    <row r="15" spans="1:12">
      <c r="A15">
        <v>13</v>
      </c>
      <c r="B15" t="s">
        <v>47</v>
      </c>
      <c r="C15" t="s">
        <v>34</v>
      </c>
      <c r="D15">
        <v>2</v>
      </c>
      <c r="E15" t="s">
        <v>35</v>
      </c>
      <c r="G15">
        <f t="shared" si="0"/>
        <v>2</v>
      </c>
      <c r="H15" t="str">
        <f t="shared" si="1"/>
        <v>R6, R8</v>
      </c>
      <c r="I15" t="str">
        <f t="shared" si="2"/>
        <v>4k7</v>
      </c>
      <c r="J15" t="str">
        <f t="shared" si="3"/>
        <v>R_Axial_DIN0204_L3.6mm_D1.6mm_P2.54mm_Vertical_kh</v>
      </c>
      <c r="K15" s="1" t="s">
        <v>41</v>
      </c>
      <c r="L15" t="str">
        <f t="shared" si="4"/>
        <v xml:space="preserve">| 2 | R6, R8 | 4k7 | R_Axial_DIN0204_L3.6mm_D1.6mm_P2.54mm_Vertical_kh |   </v>
      </c>
    </row>
    <row r="16" spans="1:12">
      <c r="A16">
        <v>14</v>
      </c>
      <c r="B16" t="s">
        <v>44</v>
      </c>
      <c r="C16" t="s">
        <v>34</v>
      </c>
      <c r="D16">
        <v>2</v>
      </c>
      <c r="E16" t="s">
        <v>32</v>
      </c>
      <c r="G16">
        <f t="shared" si="0"/>
        <v>2</v>
      </c>
      <c r="H16" t="str">
        <f t="shared" si="1"/>
        <v>R2, R5</v>
      </c>
      <c r="I16" t="str">
        <f t="shared" si="2"/>
        <v>10k</v>
      </c>
      <c r="J16" t="str">
        <f t="shared" si="3"/>
        <v>R_Axial_DIN0204_L3.6mm_D1.6mm_P2.54mm_Vertical_kh</v>
      </c>
      <c r="K16" s="1" t="s">
        <v>41</v>
      </c>
      <c r="L16" t="str">
        <f t="shared" si="4"/>
        <v xml:space="preserve">| 2 | R2, R5 | 10k | R_Axial_DIN0204_L3.6mm_D1.6mm_P2.54mm_Vertical_kh |   </v>
      </c>
    </row>
    <row r="17" spans="1:12">
      <c r="A17">
        <v>15</v>
      </c>
      <c r="B17" t="s">
        <v>36</v>
      </c>
      <c r="C17" t="s">
        <v>37</v>
      </c>
      <c r="D17">
        <v>1</v>
      </c>
      <c r="E17" t="s">
        <v>32</v>
      </c>
      <c r="G17">
        <f t="shared" si="0"/>
        <v>1</v>
      </c>
      <c r="H17" t="str">
        <f t="shared" si="1"/>
        <v>R7</v>
      </c>
      <c r="I17" t="str">
        <f t="shared" si="2"/>
        <v>10k</v>
      </c>
      <c r="J17" t="str">
        <f t="shared" si="3"/>
        <v>R_Axial_DIN0204_L3.6mm_D1.6mm_P3.81mm_Vertical_kh</v>
      </c>
      <c r="K17" s="1" t="s">
        <v>41</v>
      </c>
      <c r="L17" t="str">
        <f t="shared" si="4"/>
        <v xml:space="preserve">| 1 | R7 | 10k | R_Axial_DIN0204_L3.6mm_D1.6mm_P3.81mm_Vertical_kh |   </v>
      </c>
    </row>
    <row r="18" spans="1:12">
      <c r="A18">
        <v>16</v>
      </c>
      <c r="B18" t="s">
        <v>33</v>
      </c>
      <c r="C18" t="s">
        <v>11</v>
      </c>
      <c r="D18">
        <v>3</v>
      </c>
      <c r="E18" t="s">
        <v>12</v>
      </c>
      <c r="G18">
        <f t="shared" si="0"/>
        <v>3</v>
      </c>
      <c r="H18" t="str">
        <f t="shared" si="1"/>
        <v>R4, R14, R15</v>
      </c>
      <c r="I18" t="str">
        <f t="shared" si="2"/>
        <v>100k</v>
      </c>
      <c r="J18" t="str">
        <f t="shared" si="3"/>
        <v>R_Axial_DIN0204_L3.6mm_D1.6mm_P2.54mm_Vertical</v>
      </c>
      <c r="K18" s="1" t="s">
        <v>41</v>
      </c>
      <c r="L18" t="str">
        <f t="shared" si="4"/>
        <v xml:space="preserve">| 3 | R4, R14, R15 | 100k | R_Axial_DIN0204_L3.6mm_D1.6mm_P2.54mm_Vertical |   </v>
      </c>
    </row>
    <row r="19" spans="1:12">
      <c r="A19">
        <v>17</v>
      </c>
      <c r="B19" t="s">
        <v>42</v>
      </c>
      <c r="C19" t="s">
        <v>40</v>
      </c>
      <c r="D19">
        <v>2</v>
      </c>
      <c r="E19" t="s">
        <v>40</v>
      </c>
      <c r="G19">
        <f t="shared" si="0"/>
        <v>2</v>
      </c>
      <c r="H19" t="str">
        <f t="shared" si="1"/>
        <v>SW1, SW3</v>
      </c>
      <c r="I19" t="str">
        <f t="shared" si="2"/>
        <v>SW_Push_DPDT_8x8</v>
      </c>
      <c r="J19" t="str">
        <f t="shared" si="3"/>
        <v>SW_Push_DPDT_8x8</v>
      </c>
      <c r="K19" s="1" t="s">
        <v>41</v>
      </c>
      <c r="L19" t="str">
        <f t="shared" si="4"/>
        <v xml:space="preserve">| 2 | SW1, SW3 | SW_Push_DPDT_8x8 | SW_Push_DPDT_8x8 |   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RW_5V_UI_STRG_V1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Hartinger</dc:creator>
  <cp:lastModifiedBy>Karl Hartinger</cp:lastModifiedBy>
  <dcterms:created xsi:type="dcterms:W3CDTF">2026-07-11T16:28:25Z</dcterms:created>
  <dcterms:modified xsi:type="dcterms:W3CDTF">2026-07-13T12:53:27Z</dcterms:modified>
</cp:coreProperties>
</file>