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2890" windowHeight="11595"/>
  </bookViews>
  <sheets>
    <sheet name="RCC_TUI_STRG" sheetId="1" r:id="rId1"/>
  </sheets>
  <calcPr calcId="125725"/>
</workbook>
</file>

<file path=xl/calcChain.xml><?xml version="1.0" encoding="utf-8"?>
<calcChain xmlns="http://schemas.openxmlformats.org/spreadsheetml/2006/main">
  <c r="G4" i="1"/>
  <c r="H4"/>
  <c r="I4"/>
  <c r="J4"/>
  <c r="G5"/>
  <c r="H5"/>
  <c r="I5"/>
  <c r="J5"/>
  <c r="G6"/>
  <c r="H6"/>
  <c r="I6"/>
  <c r="J6"/>
  <c r="G7"/>
  <c r="H7"/>
  <c r="I7"/>
  <c r="J7"/>
  <c r="G8"/>
  <c r="H8"/>
  <c r="I8"/>
  <c r="J8"/>
  <c r="G9"/>
  <c r="H9"/>
  <c r="I9"/>
  <c r="J9"/>
  <c r="G10"/>
  <c r="H10"/>
  <c r="I10"/>
  <c r="J10"/>
  <c r="G11"/>
  <c r="H11"/>
  <c r="I11"/>
  <c r="L11" s="1"/>
  <c r="J11"/>
  <c r="J3"/>
  <c r="I3"/>
  <c r="H3"/>
  <c r="L3" s="1"/>
  <c r="G3"/>
  <c r="L2"/>
  <c r="L1"/>
  <c r="L6" l="1"/>
  <c r="L9"/>
  <c r="L7"/>
  <c r="L4"/>
  <c r="L8"/>
  <c r="L10"/>
  <c r="L5"/>
</calcChain>
</file>

<file path=xl/sharedStrings.xml><?xml version="1.0" encoding="utf-8"?>
<sst xmlns="http://schemas.openxmlformats.org/spreadsheetml/2006/main" count="43" uniqueCount="37">
  <si>
    <t>ID</t>
  </si>
  <si>
    <t>Bezeichner</t>
  </si>
  <si>
    <t>Footprint</t>
  </si>
  <si>
    <t>StÃ¼ckzahl</t>
  </si>
  <si>
    <t>Bezeichnung</t>
  </si>
  <si>
    <t>C1</t>
  </si>
  <si>
    <t>C_Rect_L7.0mm_W2.0mm_P5.00mm_kh</t>
  </si>
  <si>
    <t>100nF</t>
  </si>
  <si>
    <t>BAT48</t>
  </si>
  <si>
    <t>J1, J2</t>
  </si>
  <si>
    <t>PinSocket_1x08_P2.54mm_Vertical_kh</t>
  </si>
  <si>
    <t>Conn_01x08_Pin</t>
  </si>
  <si>
    <t>J3, J5</t>
  </si>
  <si>
    <t>Box_02x03_P2.54mm_Vertical_kh</t>
  </si>
  <si>
    <t>Box_02x03_P2.54_Vertical</t>
  </si>
  <si>
    <t>J4</t>
  </si>
  <si>
    <t>Box_02x05_P2.54mm_Vertical_kh</t>
  </si>
  <si>
    <t>Box_02x05_P2.54_Vertical</t>
  </si>
  <si>
    <t>JP1</t>
  </si>
  <si>
    <t>SolderJumper-2_P1.3mm_Bridged_Pad1.0x1.5mm</t>
  </si>
  <si>
    <t>Jumper_2_Bridged</t>
  </si>
  <si>
    <t>R1</t>
  </si>
  <si>
    <t>100k</t>
  </si>
  <si>
    <t>Anzahl</t>
  </si>
  <si>
    <t>Referenz</t>
  </si>
  <si>
    <t>Wert</t>
  </si>
  <si>
    <t>-----</t>
  </si>
  <si>
    <t>Geh&amp;auml;use</t>
  </si>
  <si>
    <t>D1, D2, D3, D4</t>
  </si>
  <si>
    <t>D_DO-35_P7.62mm_Horizontal_kh</t>
  </si>
  <si>
    <t>D5</t>
  </si>
  <si>
    <t>D_DO-35_P12.7mm_Horizontal_kh</t>
  </si>
  <si>
    <t>R_Axial_P5.08_Vertical_kh</t>
  </si>
  <si>
    <t>R2, R3</t>
  </si>
  <si>
    <t>R_Axial_DIN0204_L3.6mm_D1.6mm_P2.54mm_Vertical_kh</t>
  </si>
  <si>
    <t>R4, R5</t>
  </si>
  <si>
    <t>4k7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</si>
</sst>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quotePrefix="1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>
      <selection activeCell="L3" sqref="L3:L11"/>
    </sheetView>
  </sheetViews>
  <sheetFormatPr baseColWidth="10" defaultRowHeight="15"/>
  <cols>
    <col min="1" max="1" width="5" customWidth="1"/>
    <col min="2" max="2" width="9" customWidth="1"/>
    <col min="3" max="3" width="52" customWidth="1"/>
    <col min="4" max="4" width="6.28515625" customWidth="1"/>
    <col min="5" max="5" width="25.42578125" customWidth="1"/>
    <col min="6" max="6" width="2.5703125" style="1" customWidth="1"/>
    <col min="7" max="7" width="7.140625" customWidth="1"/>
    <col min="10" max="10" width="14.85546875" customWidth="1"/>
    <col min="11" max="11" width="3.42578125" style="1" customWidth="1"/>
    <col min="12" max="12" width="42.1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23</v>
      </c>
      <c r="H1" t="s">
        <v>24</v>
      </c>
      <c r="I1" t="s">
        <v>25</v>
      </c>
      <c r="J1" t="s">
        <v>27</v>
      </c>
      <c r="L1" t="str">
        <f>"| "&amp;G1&amp;" | "&amp;H1&amp;" | "&amp;I1&amp;" | "&amp;J1&amp;" |   "</f>
        <v xml:space="preserve">| Anzahl | Referenz | Wert | Geh&amp;auml;use |   </v>
      </c>
    </row>
    <row r="2" spans="1:12">
      <c r="G2" s="2" t="s">
        <v>26</v>
      </c>
      <c r="H2" s="2" t="s">
        <v>26</v>
      </c>
      <c r="I2" s="2" t="s">
        <v>26</v>
      </c>
      <c r="J2" s="2" t="s">
        <v>26</v>
      </c>
      <c r="L2" t="str">
        <f>"|"&amp;G2&amp;"|"&amp;H2&amp;"|"&amp;I2&amp;"|"&amp;J2&amp;"|   "</f>
        <v xml:space="preserve">|-----|-----|-----|-----|   </v>
      </c>
    </row>
    <row r="3" spans="1:12">
      <c r="A3">
        <v>1</v>
      </c>
      <c r="B3" t="s">
        <v>5</v>
      </c>
      <c r="C3" t="s">
        <v>6</v>
      </c>
      <c r="D3">
        <v>1</v>
      </c>
      <c r="E3" t="s">
        <v>7</v>
      </c>
      <c r="G3">
        <f>D3</f>
        <v>1</v>
      </c>
      <c r="H3" t="str">
        <f>B3</f>
        <v>C1</v>
      </c>
      <c r="I3" t="str">
        <f>E3</f>
        <v>100nF</v>
      </c>
      <c r="J3" t="str">
        <f>C3</f>
        <v>C_Rect_L7.0mm_W2.0mm_P5.00mm_kh</v>
      </c>
      <c r="L3" t="str">
        <f>"| "&amp;G3&amp;" | "&amp;H3&amp;" | "&amp;I3&amp;" | "&amp;J3&amp;" |   "</f>
        <v xml:space="preserve">| 1 | C1 | 100nF | C_Rect_L7.0mm_W2.0mm_P5.00mm_kh |   </v>
      </c>
    </row>
    <row r="4" spans="1:12">
      <c r="A4">
        <v>2</v>
      </c>
      <c r="B4" t="s">
        <v>28</v>
      </c>
      <c r="C4" t="s">
        <v>29</v>
      </c>
      <c r="D4">
        <v>4</v>
      </c>
      <c r="E4" t="s">
        <v>8</v>
      </c>
      <c r="G4">
        <f t="shared" ref="G4:G11" si="0">D4</f>
        <v>4</v>
      </c>
      <c r="H4" t="str">
        <f t="shared" ref="H4:H11" si="1">B4</f>
        <v>D1, D2, D3, D4</v>
      </c>
      <c r="I4" t="str">
        <f t="shared" ref="I4:I11" si="2">E4</f>
        <v>BAT48</v>
      </c>
      <c r="J4" t="str">
        <f t="shared" ref="J4:J11" si="3">C4</f>
        <v>D_DO-35_P7.62mm_Horizontal_kh</v>
      </c>
      <c r="L4" t="str">
        <f t="shared" ref="L4:L11" si="4">"| "&amp;G4&amp;" | "&amp;H4&amp;" | "&amp;I4&amp;" | "&amp;J4&amp;" |   "</f>
        <v xml:space="preserve">| 4 | D1, D2, D3, D4 | BAT48 | D_DO-35_P7.62mm_Horizontal_kh |   </v>
      </c>
    </row>
    <row r="5" spans="1:12">
      <c r="A5">
        <v>3</v>
      </c>
      <c r="B5" t="s">
        <v>30</v>
      </c>
      <c r="C5" t="s">
        <v>31</v>
      </c>
      <c r="D5">
        <v>1</v>
      </c>
      <c r="E5" t="s">
        <v>8</v>
      </c>
      <c r="G5">
        <f t="shared" si="0"/>
        <v>1</v>
      </c>
      <c r="H5" t="str">
        <f t="shared" si="1"/>
        <v>D5</v>
      </c>
      <c r="I5" t="str">
        <f t="shared" si="2"/>
        <v>BAT48</v>
      </c>
      <c r="J5" t="str">
        <f t="shared" si="3"/>
        <v>D_DO-35_P12.7mm_Horizontal_kh</v>
      </c>
      <c r="L5" t="str">
        <f t="shared" si="4"/>
        <v xml:space="preserve">| 1 | D5 | BAT48 | D_DO-35_P12.7mm_Horizontal_kh |   </v>
      </c>
    </row>
    <row r="6" spans="1:12">
      <c r="A6">
        <v>4</v>
      </c>
      <c r="B6" t="s">
        <v>9</v>
      </c>
      <c r="C6" t="s">
        <v>10</v>
      </c>
      <c r="D6">
        <v>2</v>
      </c>
      <c r="E6" t="s">
        <v>11</v>
      </c>
      <c r="G6">
        <f t="shared" si="0"/>
        <v>2</v>
      </c>
      <c r="H6" t="str">
        <f t="shared" si="1"/>
        <v>J1, J2</v>
      </c>
      <c r="I6" t="str">
        <f t="shared" si="2"/>
        <v>Conn_01x08_Pin</v>
      </c>
      <c r="J6" t="str">
        <f t="shared" si="3"/>
        <v>PinSocket_1x08_P2.54mm_Vertical_kh</v>
      </c>
      <c r="L6" t="str">
        <f t="shared" si="4"/>
        <v xml:space="preserve">| 2 | J1, J2 | Conn_01x08_Pin | PinSocket_1x08_P2.54mm_Vertical_kh |   </v>
      </c>
    </row>
    <row r="7" spans="1:12">
      <c r="A7">
        <v>5</v>
      </c>
      <c r="B7" t="s">
        <v>12</v>
      </c>
      <c r="C7" t="s">
        <v>13</v>
      </c>
      <c r="D7">
        <v>2</v>
      </c>
      <c r="E7" t="s">
        <v>14</v>
      </c>
      <c r="G7">
        <f t="shared" si="0"/>
        <v>2</v>
      </c>
      <c r="H7" t="str">
        <f t="shared" si="1"/>
        <v>J3, J5</v>
      </c>
      <c r="I7" t="str">
        <f t="shared" si="2"/>
        <v>Box_02x03_P2.54_Vertical</v>
      </c>
      <c r="J7" t="str">
        <f t="shared" si="3"/>
        <v>Box_02x03_P2.54mm_Vertical_kh</v>
      </c>
      <c r="L7" t="str">
        <f t="shared" si="4"/>
        <v xml:space="preserve">| 2 | J3, J5 | Box_02x03_P2.54_Vertical | Box_02x03_P2.54mm_Vertical_kh |   </v>
      </c>
    </row>
    <row r="8" spans="1:12">
      <c r="A8">
        <v>6</v>
      </c>
      <c r="B8" t="s">
        <v>15</v>
      </c>
      <c r="C8" t="s">
        <v>16</v>
      </c>
      <c r="D8">
        <v>1</v>
      </c>
      <c r="E8" t="s">
        <v>17</v>
      </c>
      <c r="G8">
        <f t="shared" si="0"/>
        <v>1</v>
      </c>
      <c r="H8" t="str">
        <f t="shared" si="1"/>
        <v>J4</v>
      </c>
      <c r="I8" t="str">
        <f t="shared" si="2"/>
        <v>Box_02x05_P2.54_Vertical</v>
      </c>
      <c r="J8" t="str">
        <f t="shared" si="3"/>
        <v>Box_02x05_P2.54mm_Vertical_kh</v>
      </c>
      <c r="L8" t="str">
        <f t="shared" si="4"/>
        <v xml:space="preserve">| 1 | J4 | Box_02x05_P2.54_Vertical | Box_02x05_P2.54mm_Vertical_kh |   </v>
      </c>
    </row>
    <row r="9" spans="1:12">
      <c r="A9">
        <v>7</v>
      </c>
      <c r="B9" t="s">
        <v>18</v>
      </c>
      <c r="C9" t="s">
        <v>19</v>
      </c>
      <c r="D9">
        <v>1</v>
      </c>
      <c r="E9" t="s">
        <v>20</v>
      </c>
      <c r="G9">
        <f t="shared" si="0"/>
        <v>1</v>
      </c>
      <c r="H9" t="str">
        <f t="shared" si="1"/>
        <v>JP1</v>
      </c>
      <c r="I9" t="str">
        <f t="shared" si="2"/>
        <v>Jumper_2_Bridged</v>
      </c>
      <c r="J9" t="str">
        <f t="shared" si="3"/>
        <v>SolderJumper-2_P1.3mm_Bridged_Pad1.0x1.5mm</v>
      </c>
      <c r="L9" t="str">
        <f t="shared" si="4"/>
        <v xml:space="preserve">| 1 | JP1 | Jumper_2_Bridged | SolderJumper-2_P1.3mm_Bridged_Pad1.0x1.5mm |   </v>
      </c>
    </row>
    <row r="10" spans="1:12">
      <c r="A10">
        <v>8</v>
      </c>
      <c r="B10" t="s">
        <v>21</v>
      </c>
      <c r="C10" t="s">
        <v>32</v>
      </c>
      <c r="D10">
        <v>1</v>
      </c>
      <c r="E10" t="s">
        <v>22</v>
      </c>
      <c r="G10">
        <f t="shared" si="0"/>
        <v>1</v>
      </c>
      <c r="H10" t="str">
        <f t="shared" si="1"/>
        <v>R1</v>
      </c>
      <c r="I10" t="str">
        <f t="shared" si="2"/>
        <v>100k</v>
      </c>
      <c r="J10" t="str">
        <f t="shared" si="3"/>
        <v>R_Axial_P5.08_Vertical_kh</v>
      </c>
      <c r="L10" t="str">
        <f t="shared" si="4"/>
        <v xml:space="preserve">| 1 | R1 | 100k | R_Axial_P5.08_Vertical_kh |   </v>
      </c>
    </row>
    <row r="11" spans="1:12">
      <c r="A11">
        <v>9</v>
      </c>
      <c r="B11" t="s">
        <v>33</v>
      </c>
      <c r="C11" t="s">
        <v>34</v>
      </c>
      <c r="D11">
        <v>2</v>
      </c>
      <c r="E11" t="s">
        <v>22</v>
      </c>
      <c r="G11">
        <f t="shared" si="0"/>
        <v>2</v>
      </c>
      <c r="H11" t="str">
        <f t="shared" si="1"/>
        <v>R2, R3</v>
      </c>
      <c r="I11" t="str">
        <f t="shared" si="2"/>
        <v>100k</v>
      </c>
      <c r="J11" t="str">
        <f t="shared" si="3"/>
        <v>R_Axial_DIN0204_L3.6mm_D1.6mm_P2.54mm_Vertical_kh</v>
      </c>
      <c r="L11" t="str">
        <f t="shared" si="4"/>
        <v xml:space="preserve">| 2 | R2, R3 | 100k | R_Axial_DIN0204_L3.6mm_D1.6mm_P2.54mm_Vertical_kh |   </v>
      </c>
    </row>
    <row r="12" spans="1:12">
      <c r="A12">
        <v>10</v>
      </c>
      <c r="B12" t="s">
        <v>35</v>
      </c>
      <c r="C12" t="s">
        <v>34</v>
      </c>
      <c r="D12">
        <v>2</v>
      </c>
      <c r="E12" t="s">
        <v>36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RCC_TUI_STRG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Hartinger</dc:creator>
  <cp:lastModifiedBy>Karl Hartinger</cp:lastModifiedBy>
  <dcterms:created xsi:type="dcterms:W3CDTF">2026-07-11T16:28:25Z</dcterms:created>
  <dcterms:modified xsi:type="dcterms:W3CDTF">2026-09-07T17:04:23Z</dcterms:modified>
</cp:coreProperties>
</file>